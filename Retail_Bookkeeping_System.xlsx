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Aster Agondeze\Downloads\excel bi\"/>
    </mc:Choice>
  </mc:AlternateContent>
  <xr:revisionPtr revIDLastSave="0" documentId="8_{971B9CAA-E9FC-455B-882A-163CD157C15B}" xr6:coauthVersionLast="47" xr6:coauthVersionMax="47" xr10:uidLastSave="{00000000-0000-0000-0000-000000000000}"/>
  <bookViews>
    <workbookView xWindow="-120" yWindow="-120" windowWidth="20730" windowHeight="11040" activeTab="4" xr2:uid="{A984EFDF-CC8A-4440-9160-A9DF2D5D274F}"/>
  </bookViews>
  <sheets>
    <sheet name="Dashboard" sheetId="1" r:id="rId1"/>
    <sheet name="Daily Sales" sheetId="2" r:id="rId2"/>
    <sheet name="Stock Entry" sheetId="3" r:id="rId3"/>
    <sheet name="Stock Remaining" sheetId="6" r:id="rId4"/>
    <sheet name="Cumulative Performan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B2" i="5"/>
  <c r="A2" i="6" a="1"/>
  <c r="A2" i="6" s="1"/>
  <c r="C2" i="6" s="1"/>
  <c r="K6" i="2"/>
  <c r="F3" i="3"/>
  <c r="F4" i="3"/>
  <c r="F5" i="3"/>
  <c r="F6" i="3"/>
  <c r="F7" i="3"/>
  <c r="C2" i="5" s="1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2" i="3"/>
  <c r="K3" i="2"/>
  <c r="K4" i="2"/>
  <c r="K5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2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3" i="2"/>
  <c r="G4" i="2"/>
  <c r="J4" i="2" s="1"/>
  <c r="F2" i="5" s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I3" i="2"/>
  <c r="I4" i="2"/>
  <c r="I5" i="2"/>
  <c r="J5" i="2" s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2" i="2"/>
  <c r="J3" i="2" l="1"/>
  <c r="A3" i="6" a="1"/>
  <c r="A3" i="6" s="1"/>
  <c r="E2" i="6"/>
  <c r="B2" i="6"/>
  <c r="D2" i="6" s="1"/>
  <c r="J2" i="2"/>
  <c r="J6" i="2"/>
  <c r="B3" i="6" l="1"/>
  <c r="E3" i="6"/>
  <c r="C3" i="6"/>
  <c r="A4" i="6" a="1"/>
  <c r="A4" i="6" s="1"/>
  <c r="F2" i="6"/>
  <c r="D3" i="6" l="1"/>
  <c r="F3" i="6" s="1"/>
  <c r="E4" i="6"/>
  <c r="C4" i="6"/>
  <c r="B4" i="6"/>
  <c r="A5" i="6" a="1"/>
  <c r="A5" i="6" s="1"/>
  <c r="D4" i="6" l="1"/>
  <c r="F4" i="6" s="1"/>
  <c r="E5" i="6"/>
  <c r="C5" i="6"/>
  <c r="B5" i="6"/>
  <c r="A6" i="6" a="1"/>
  <c r="A6" i="6" s="1"/>
  <c r="D5" i="6" l="1"/>
  <c r="F5" i="6" s="1"/>
  <c r="E6" i="6"/>
  <c r="C6" i="6"/>
  <c r="B6" i="6"/>
  <c r="A7" i="6" a="1"/>
  <c r="A7" i="6" s="1"/>
  <c r="D6" i="6" l="1"/>
  <c r="F6" i="6" s="1"/>
  <c r="E7" i="6"/>
  <c r="C7" i="6"/>
  <c r="B7" i="6"/>
  <c r="A8" i="6" a="1"/>
  <c r="A8" i="6" s="1"/>
  <c r="D7" i="6" l="1"/>
  <c r="F7" i="6" s="1"/>
  <c r="E8" i="6"/>
  <c r="C8" i="6"/>
  <c r="B8" i="6"/>
  <c r="A9" i="6" a="1"/>
  <c r="A9" i="6" s="1"/>
  <c r="D8" i="6" l="1"/>
  <c r="F8" i="6" s="1"/>
  <c r="E9" i="6"/>
  <c r="C9" i="6"/>
  <c r="B9" i="6"/>
  <c r="A10" i="6" a="1"/>
  <c r="A10" i="6" s="1"/>
  <c r="D2" i="5" s="1"/>
  <c r="E2" i="5" s="1"/>
  <c r="G2" i="5" s="1"/>
  <c r="D9" i="6" l="1"/>
  <c r="F9" i="6" s="1"/>
  <c r="E10" i="6"/>
  <c r="C10" i="6"/>
  <c r="B10" i="6"/>
  <c r="D10" i="6" l="1"/>
  <c r="F10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<sst xmlns="http://schemas.openxmlformats.org/spreadsheetml/2006/main" count="39" uniqueCount="29">
  <si>
    <t>Date</t>
  </si>
  <si>
    <t>Product Name</t>
  </si>
  <si>
    <t>Quantity Sold</t>
  </si>
  <si>
    <t>Price</t>
  </si>
  <si>
    <t>Payment Method</t>
  </si>
  <si>
    <t>Date Added</t>
  </si>
  <si>
    <t>Quantity</t>
  </si>
  <si>
    <t>Total</t>
  </si>
  <si>
    <t>Total Credit</t>
  </si>
  <si>
    <t>Customer Name</t>
  </si>
  <si>
    <t>Partly Payment</t>
  </si>
  <si>
    <t>Full Cash</t>
  </si>
  <si>
    <t>Description</t>
  </si>
  <si>
    <t>Profit</t>
  </si>
  <si>
    <t>Buying Price</t>
  </si>
  <si>
    <t>Selling Price</t>
  </si>
  <si>
    <t>Quantity Left</t>
  </si>
  <si>
    <t xml:space="preserve">Total Value </t>
  </si>
  <si>
    <t>Total Quantity Stocked</t>
  </si>
  <si>
    <t>Total Quantity Sold</t>
  </si>
  <si>
    <t>Total Amount of Sales</t>
  </si>
  <si>
    <t>Total Profits</t>
  </si>
  <si>
    <t>Stock Amount Sold</t>
  </si>
  <si>
    <t>Total Stocking Amount</t>
  </si>
  <si>
    <t>Quantity Stocked</t>
  </si>
  <si>
    <t>NAMANVE</t>
  </si>
  <si>
    <t>MUMBEJA</t>
  </si>
  <si>
    <t>MUYINDI</t>
  </si>
  <si>
    <t>KAMWEKAMWE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</si>
</sst>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UGX]\ * #,##0_-;\-[$UGX]\ * #,##0_-;_-[$UGX]\ * &quot;-&quot;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14" fontId="0" fillId="0" borderId="3" xfId="0" applyNumberFormat="1" applyBorder="1"/>
    <xf numFmtId="164" fontId="1" fillId="2" borderId="0" xfId="0" applyNumberFormat="1" applyFont="1" applyFill="1"/>
    <xf numFmtId="164" fontId="0" fillId="0" borderId="0" xfId="0" applyNumberFormat="1"/>
    <xf numFmtId="164" fontId="1" fillId="2" borderId="2" xfId="0" applyNumberFormat="1" applyFont="1" applyFill="1" applyBorder="1"/>
    <xf numFmtId="164" fontId="0" fillId="0" borderId="5" xfId="0" applyNumberFormat="1" applyBorder="1"/>
    <xf numFmtId="0" fontId="0" fillId="3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291C-7B62-4116-A446-AF603A6BEFCF}">
  <dimension ref="A1"/>
  <sheetViews>
    <sheetView workbookViewId="0"/>
  </sheetViews>
  <sheetFormatPr defaultRowHeight="15" x14ac:dyDescent="0.25"/>
  <cols>
    <col min="1" max="16384" width="9.140625" style="15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89AC-9BC9-4394-BAA0-F53B13E1ED49}">
  <dimension ref="A1:BQA1247"/>
  <sheetViews>
    <sheetView zoomScale="110" zoomScaleNormal="110" workbookViewId="0">
      <selection activeCell="J3" sqref="J3"/>
    </sheetView>
  </sheetViews>
  <sheetFormatPr defaultRowHeight="15" x14ac:dyDescent="0.25"/>
  <cols>
    <col min="1" max="1" width="12.140625" customWidth="1"/>
    <col min="2" max="2" width="16.28515625" customWidth="1"/>
    <col min="3" max="3" width="21.85546875" customWidth="1"/>
    <col min="4" max="4" width="13.28515625" customWidth="1"/>
    <col min="5" max="5" width="15.140625" style="12" customWidth="1"/>
    <col min="6" max="6" width="17.28515625" customWidth="1"/>
    <col min="7" max="8" width="15.140625" style="12" customWidth="1"/>
    <col min="9" max="9" width="15.42578125" style="12" customWidth="1"/>
    <col min="10" max="10" width="14.5703125" style="12" customWidth="1"/>
    <col min="11" max="11" width="14.85546875" style="12" customWidth="1"/>
  </cols>
  <sheetData>
    <row r="1" spans="1:1795" s="3" customFormat="1" x14ac:dyDescent="0.25">
      <c r="A1" s="2" t="s">
        <v>0</v>
      </c>
      <c r="B1" s="2" t="s">
        <v>9</v>
      </c>
      <c r="C1" s="2" t="s">
        <v>1</v>
      </c>
      <c r="D1" s="2" t="s">
        <v>2</v>
      </c>
      <c r="E1" s="11" t="s">
        <v>15</v>
      </c>
      <c r="F1" s="2" t="s">
        <v>4</v>
      </c>
      <c r="G1" s="11" t="s">
        <v>11</v>
      </c>
      <c r="H1" s="11" t="s">
        <v>10</v>
      </c>
      <c r="I1" s="11" t="s">
        <v>8</v>
      </c>
      <c r="J1" s="11" t="s">
        <v>7</v>
      </c>
      <c r="K1" s="11" t="s">
        <v>13</v>
      </c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</row>
    <row r="2" spans="1:1795" x14ac:dyDescent="0.25">
      <c r="A2" s="1">
        <v>45608</v>
      </c>
      <c r="B2" t="s">
        <v>26</v>
      </c>
      <c r="C2" t="s">
        <v>25</v>
      </c>
      <c r="D2">
        <v>5</v>
      </c>
      <c r="E2" s="12">
        <v>140000</v>
      </c>
      <c r="F2" t="s">
        <v>11</v>
      </c>
      <c r="G2" s="12">
        <f>IF(F2="Full Cash", D2*E2, "")</f>
        <v>700000</v>
      </c>
      <c r="I2" s="12" t="str">
        <f>IF(F2="Full Credit",D2*E2,IF(F2="Partly Payment",(D2*E2)-H2,""))</f>
        <v/>
      </c>
      <c r="J2" s="12">
        <f>IF(F2="Full Cash", G2, IF(F2="Full Credit", I2, IF(F2="Partly Payment", H2+I2, "")))</f>
        <v>700000</v>
      </c>
      <c r="K2" s="12">
        <f>IFERROR((E2 - VLOOKUP(C2, 'Stock Entry'!B:E, 4, FALSE)) * D2, "")</f>
        <v>190000</v>
      </c>
    </row>
    <row r="3" spans="1:1795" x14ac:dyDescent="0.25">
      <c r="A3" s="1">
        <v>45638</v>
      </c>
      <c r="B3" t="s">
        <v>28</v>
      </c>
      <c r="C3" t="s">
        <v>27</v>
      </c>
      <c r="D3">
        <v>10</v>
      </c>
      <c r="E3" s="12">
        <v>140000</v>
      </c>
      <c r="F3" t="s">
        <v>11</v>
      </c>
      <c r="G3" s="12">
        <f t="shared" ref="G3:G66" si="0">IF(F3="Full Cash", D3*E3, "")</f>
        <v>1400000</v>
      </c>
      <c r="I3" s="12" t="str">
        <f t="shared" ref="I3:I66" si="1">IF(F3="Full Credit",D3*E3,IF(F3="Partly Payment",(D3*E3)-H3,""))</f>
        <v/>
      </c>
      <c r="J3" s="12">
        <f t="shared" ref="J3:J66" si="2">IF(F3="Full Cash", G3, IF(F3="Full Credit", I3, IF(F3="Partly Payment", H3+I3, "")))</f>
        <v>1400000</v>
      </c>
      <c r="K3" s="12">
        <f>IFERROR((E3 - VLOOKUP(C3, 'Stock Entry'!B:E, 4, FALSE)) * D3, "")</f>
        <v>280000</v>
      </c>
    </row>
    <row r="4" spans="1:1795" x14ac:dyDescent="0.25">
      <c r="A4" s="1"/>
      <c r="G4" s="12" t="str">
        <f t="shared" si="0"/>
        <v/>
      </c>
      <c r="I4" s="12" t="str">
        <f t="shared" si="1"/>
        <v/>
      </c>
      <c r="J4" s="12" t="str">
        <f t="shared" si="2"/>
        <v/>
      </c>
      <c r="K4" s="12" t="str">
        <f>IFERROR((E4 - VLOOKUP(C4, 'Stock Entry'!B:E, 4, FALSE)) * D4, "")</f>
        <v/>
      </c>
    </row>
    <row r="5" spans="1:1795" x14ac:dyDescent="0.25">
      <c r="A5" s="1"/>
      <c r="G5" s="12" t="str">
        <f t="shared" si="0"/>
        <v/>
      </c>
      <c r="I5" s="12" t="str">
        <f t="shared" si="1"/>
        <v/>
      </c>
      <c r="J5" s="12" t="str">
        <f t="shared" si="2"/>
        <v/>
      </c>
      <c r="K5" s="12" t="str">
        <f>IFERROR((E5 - VLOOKUP(C5, 'Stock Entry'!B:E, 4, FALSE)) * D5, "")</f>
        <v/>
      </c>
    </row>
    <row r="6" spans="1:1795" x14ac:dyDescent="0.25">
      <c r="A6" s="1"/>
      <c r="G6" s="12" t="str">
        <f t="shared" si="0"/>
        <v/>
      </c>
      <c r="I6" s="12" t="str">
        <f t="shared" si="1"/>
        <v/>
      </c>
      <c r="J6" s="12" t="str">
        <f t="shared" si="2"/>
        <v/>
      </c>
      <c r="K6" s="12" t="str">
        <f>IFERROR((E6 - VLOOKUP(C6, 'Stock Entry'!B:E, 4, FALSE)) * D6, "")</f>
        <v/>
      </c>
    </row>
    <row r="7" spans="1:1795" x14ac:dyDescent="0.25">
      <c r="G7" s="12" t="str">
        <f t="shared" si="0"/>
        <v/>
      </c>
      <c r="I7" s="12" t="str">
        <f t="shared" si="1"/>
        <v/>
      </c>
      <c r="J7" s="12" t="str">
        <f t="shared" si="2"/>
        <v/>
      </c>
      <c r="K7" s="12" t="str">
        <f>IFERROR((E7 - VLOOKUP(C7, 'Stock Entry'!B:E, 4, FALSE)) * D7, "")</f>
        <v/>
      </c>
    </row>
    <row r="8" spans="1:1795" x14ac:dyDescent="0.25">
      <c r="G8" s="12" t="str">
        <f t="shared" si="0"/>
        <v/>
      </c>
      <c r="I8" s="12" t="str">
        <f t="shared" si="1"/>
        <v/>
      </c>
      <c r="J8" s="12" t="str">
        <f t="shared" si="2"/>
        <v/>
      </c>
      <c r="K8" s="12" t="str">
        <f>IFERROR((E8 - VLOOKUP(C8, 'Stock Entry'!B:E, 4, FALSE)) * D8, "")</f>
        <v/>
      </c>
    </row>
    <row r="9" spans="1:1795" x14ac:dyDescent="0.25">
      <c r="G9" s="12" t="str">
        <f t="shared" si="0"/>
        <v/>
      </c>
      <c r="I9" s="12" t="str">
        <f t="shared" si="1"/>
        <v/>
      </c>
      <c r="J9" s="12" t="str">
        <f t="shared" si="2"/>
        <v/>
      </c>
      <c r="K9" s="12" t="str">
        <f>IFERROR((E9 - VLOOKUP(C9, 'Stock Entry'!B:E, 4, FALSE)) * D9, "")</f>
        <v/>
      </c>
    </row>
    <row r="10" spans="1:1795" x14ac:dyDescent="0.25">
      <c r="G10" s="12" t="str">
        <f t="shared" si="0"/>
        <v/>
      </c>
      <c r="I10" s="12" t="str">
        <f t="shared" si="1"/>
        <v/>
      </c>
      <c r="J10" s="12" t="str">
        <f t="shared" si="2"/>
        <v/>
      </c>
      <c r="K10" s="12" t="str">
        <f>IFERROR((E10 - VLOOKUP(C10, 'Stock Entry'!B:E, 4, FALSE)) * D10, "")</f>
        <v/>
      </c>
    </row>
    <row r="11" spans="1:1795" x14ac:dyDescent="0.25">
      <c r="G11" s="12" t="str">
        <f t="shared" si="0"/>
        <v/>
      </c>
      <c r="I11" s="12" t="str">
        <f t="shared" si="1"/>
        <v/>
      </c>
      <c r="J11" s="12" t="str">
        <f t="shared" si="2"/>
        <v/>
      </c>
      <c r="K11" s="12" t="str">
        <f>IFERROR((E11 - VLOOKUP(C11, 'Stock Entry'!B:E, 4, FALSE)) * D11, "")</f>
        <v/>
      </c>
    </row>
    <row r="12" spans="1:1795" x14ac:dyDescent="0.25">
      <c r="G12" s="12" t="str">
        <f t="shared" si="0"/>
        <v/>
      </c>
      <c r="I12" s="12" t="str">
        <f t="shared" si="1"/>
        <v/>
      </c>
      <c r="J12" s="12" t="str">
        <f t="shared" si="2"/>
        <v/>
      </c>
      <c r="K12" s="12" t="str">
        <f>IFERROR((E12 - VLOOKUP(C12, 'Stock Entry'!B:E, 4, FALSE)) * D12, "")</f>
        <v/>
      </c>
    </row>
    <row r="13" spans="1:1795" x14ac:dyDescent="0.25">
      <c r="G13" s="12" t="str">
        <f t="shared" si="0"/>
        <v/>
      </c>
      <c r="I13" s="12" t="str">
        <f t="shared" si="1"/>
        <v/>
      </c>
      <c r="J13" s="12" t="str">
        <f t="shared" si="2"/>
        <v/>
      </c>
      <c r="K13" s="12" t="str">
        <f>IFERROR((E13 - VLOOKUP(C13, 'Stock Entry'!B:E, 4, FALSE)) * D13, "")</f>
        <v/>
      </c>
    </row>
    <row r="14" spans="1:1795" x14ac:dyDescent="0.25">
      <c r="G14" s="12" t="str">
        <f t="shared" si="0"/>
        <v/>
      </c>
      <c r="I14" s="12" t="str">
        <f t="shared" si="1"/>
        <v/>
      </c>
      <c r="J14" s="12" t="str">
        <f t="shared" si="2"/>
        <v/>
      </c>
      <c r="K14" s="12" t="str">
        <f>IFERROR((E14 - VLOOKUP(C14, 'Stock Entry'!B:E, 4, FALSE)) * D14, "")</f>
        <v/>
      </c>
    </row>
    <row r="15" spans="1:1795" x14ac:dyDescent="0.25">
      <c r="G15" s="12" t="str">
        <f t="shared" si="0"/>
        <v/>
      </c>
      <c r="I15" s="12" t="str">
        <f t="shared" si="1"/>
        <v/>
      </c>
      <c r="J15" s="12" t="str">
        <f t="shared" si="2"/>
        <v/>
      </c>
      <c r="K15" s="12" t="str">
        <f>IFERROR((E15 - VLOOKUP(C15, 'Stock Entry'!B:E, 4, FALSE)) * D15, "")</f>
        <v/>
      </c>
    </row>
    <row r="16" spans="1:1795" x14ac:dyDescent="0.25">
      <c r="G16" s="12" t="str">
        <f t="shared" si="0"/>
        <v/>
      </c>
      <c r="I16" s="12" t="str">
        <f t="shared" si="1"/>
        <v/>
      </c>
      <c r="J16" s="12" t="str">
        <f t="shared" si="2"/>
        <v/>
      </c>
      <c r="K16" s="12" t="str">
        <f>IFERROR((E16 - VLOOKUP(C16, 'Stock Entry'!B:E, 4, FALSE)) * D16, "")</f>
        <v/>
      </c>
    </row>
    <row r="17" spans="7:11" x14ac:dyDescent="0.25">
      <c r="G17" s="12" t="str">
        <f t="shared" si="0"/>
        <v/>
      </c>
      <c r="I17" s="12" t="str">
        <f t="shared" si="1"/>
        <v/>
      </c>
      <c r="J17" s="12" t="str">
        <f t="shared" si="2"/>
        <v/>
      </c>
      <c r="K17" s="12" t="str">
        <f>IFERROR((E17 - VLOOKUP(C17, 'Stock Entry'!B:E, 4, FALSE)) * D17, "")</f>
        <v/>
      </c>
    </row>
    <row r="18" spans="7:11" x14ac:dyDescent="0.25">
      <c r="G18" s="12" t="str">
        <f t="shared" si="0"/>
        <v/>
      </c>
      <c r="I18" s="12" t="str">
        <f t="shared" si="1"/>
        <v/>
      </c>
      <c r="J18" s="12" t="str">
        <f t="shared" si="2"/>
        <v/>
      </c>
      <c r="K18" s="12" t="str">
        <f>IFERROR((E18 - VLOOKUP(C18, 'Stock Entry'!B:E, 4, FALSE)) * D18, "")</f>
        <v/>
      </c>
    </row>
    <row r="19" spans="7:11" x14ac:dyDescent="0.25">
      <c r="G19" s="12" t="str">
        <f t="shared" si="0"/>
        <v/>
      </c>
      <c r="I19" s="12" t="str">
        <f t="shared" si="1"/>
        <v/>
      </c>
      <c r="J19" s="12" t="str">
        <f t="shared" si="2"/>
        <v/>
      </c>
      <c r="K19" s="12" t="str">
        <f>IFERROR((E19 - VLOOKUP(C19, 'Stock Entry'!B:E, 4, FALSE)) * D19, "")</f>
        <v/>
      </c>
    </row>
    <row r="20" spans="7:11" x14ac:dyDescent="0.25">
      <c r="G20" s="12" t="str">
        <f t="shared" si="0"/>
        <v/>
      </c>
      <c r="I20" s="12" t="str">
        <f t="shared" si="1"/>
        <v/>
      </c>
      <c r="J20" s="12" t="str">
        <f t="shared" si="2"/>
        <v/>
      </c>
      <c r="K20" s="12" t="str">
        <f>IFERROR((E20 - VLOOKUP(C20, 'Stock Entry'!B:E, 4, FALSE)) * D20, "")</f>
        <v/>
      </c>
    </row>
    <row r="21" spans="7:11" x14ac:dyDescent="0.25">
      <c r="G21" s="12" t="str">
        <f t="shared" si="0"/>
        <v/>
      </c>
      <c r="I21" s="12" t="str">
        <f t="shared" si="1"/>
        <v/>
      </c>
      <c r="J21" s="12" t="str">
        <f t="shared" si="2"/>
        <v/>
      </c>
      <c r="K21" s="12" t="str">
        <f>IFERROR((E21 - VLOOKUP(C21, 'Stock Entry'!B:E, 4, FALSE)) * D21, "")</f>
        <v/>
      </c>
    </row>
    <row r="22" spans="7:11" x14ac:dyDescent="0.25">
      <c r="G22" s="12" t="str">
        <f t="shared" si="0"/>
        <v/>
      </c>
      <c r="I22" s="12" t="str">
        <f t="shared" si="1"/>
        <v/>
      </c>
      <c r="J22" s="12" t="str">
        <f t="shared" si="2"/>
        <v/>
      </c>
      <c r="K22" s="12" t="str">
        <f>IFERROR((E22 - VLOOKUP(C22, 'Stock Entry'!B:E, 4, FALSE)) * D22, "")</f>
        <v/>
      </c>
    </row>
    <row r="23" spans="7:11" x14ac:dyDescent="0.25">
      <c r="G23" s="12" t="str">
        <f t="shared" si="0"/>
        <v/>
      </c>
      <c r="I23" s="12" t="str">
        <f t="shared" si="1"/>
        <v/>
      </c>
      <c r="J23" s="12" t="str">
        <f t="shared" si="2"/>
        <v/>
      </c>
      <c r="K23" s="12" t="str">
        <f>IFERROR((E23 - VLOOKUP(C23, 'Stock Entry'!B:E, 4, FALSE)) * D23, "")</f>
        <v/>
      </c>
    </row>
    <row r="24" spans="7:11" x14ac:dyDescent="0.25">
      <c r="G24" s="12" t="str">
        <f t="shared" si="0"/>
        <v/>
      </c>
      <c r="I24" s="12" t="str">
        <f t="shared" si="1"/>
        <v/>
      </c>
      <c r="J24" s="12" t="str">
        <f t="shared" si="2"/>
        <v/>
      </c>
      <c r="K24" s="12" t="str">
        <f>IFERROR((E24 - VLOOKUP(C24, 'Stock Entry'!B:E, 4, FALSE)) * D24, "")</f>
        <v/>
      </c>
    </row>
    <row r="25" spans="7:11" x14ac:dyDescent="0.25">
      <c r="G25" s="12" t="str">
        <f t="shared" si="0"/>
        <v/>
      </c>
      <c r="I25" s="12" t="str">
        <f t="shared" si="1"/>
        <v/>
      </c>
      <c r="J25" s="12" t="str">
        <f t="shared" si="2"/>
        <v/>
      </c>
      <c r="K25" s="12" t="str">
        <f>IFERROR((E25 - VLOOKUP(C25, 'Stock Entry'!B:E, 4, FALSE)) * D25, "")</f>
        <v/>
      </c>
    </row>
    <row r="26" spans="7:11" x14ac:dyDescent="0.25">
      <c r="G26" s="12" t="str">
        <f t="shared" si="0"/>
        <v/>
      </c>
      <c r="I26" s="12" t="str">
        <f t="shared" si="1"/>
        <v/>
      </c>
      <c r="J26" s="12" t="str">
        <f t="shared" si="2"/>
        <v/>
      </c>
      <c r="K26" s="12" t="str">
        <f>IFERROR((E26 - VLOOKUP(C26, 'Stock Entry'!B:E, 4, FALSE)) * D26, "")</f>
        <v/>
      </c>
    </row>
    <row r="27" spans="7:11" x14ac:dyDescent="0.25">
      <c r="G27" s="12" t="str">
        <f t="shared" si="0"/>
        <v/>
      </c>
      <c r="I27" s="12" t="str">
        <f t="shared" si="1"/>
        <v/>
      </c>
      <c r="J27" s="12" t="str">
        <f t="shared" si="2"/>
        <v/>
      </c>
      <c r="K27" s="12" t="str">
        <f>IFERROR((E27 - VLOOKUP(C27, 'Stock Entry'!B:E, 4, FALSE)) * D27, "")</f>
        <v/>
      </c>
    </row>
    <row r="28" spans="7:11" x14ac:dyDescent="0.25">
      <c r="G28" s="12" t="str">
        <f t="shared" si="0"/>
        <v/>
      </c>
      <c r="I28" s="12" t="str">
        <f t="shared" si="1"/>
        <v/>
      </c>
      <c r="J28" s="12" t="str">
        <f t="shared" si="2"/>
        <v/>
      </c>
      <c r="K28" s="12" t="str">
        <f>IFERROR((E28 - VLOOKUP(C28, 'Stock Entry'!B:E, 4, FALSE)) * D28, "")</f>
        <v/>
      </c>
    </row>
    <row r="29" spans="7:11" x14ac:dyDescent="0.25">
      <c r="G29" s="12" t="str">
        <f t="shared" si="0"/>
        <v/>
      </c>
      <c r="I29" s="12" t="str">
        <f t="shared" si="1"/>
        <v/>
      </c>
      <c r="J29" s="12" t="str">
        <f t="shared" si="2"/>
        <v/>
      </c>
      <c r="K29" s="12" t="str">
        <f>IFERROR((E29 - VLOOKUP(C29, 'Stock Entry'!B:E, 4, FALSE)) * D29, "")</f>
        <v/>
      </c>
    </row>
    <row r="30" spans="7:11" x14ac:dyDescent="0.25">
      <c r="G30" s="12" t="str">
        <f t="shared" si="0"/>
        <v/>
      </c>
      <c r="I30" s="12" t="str">
        <f t="shared" si="1"/>
        <v/>
      </c>
      <c r="J30" s="12" t="str">
        <f t="shared" si="2"/>
        <v/>
      </c>
      <c r="K30" s="12" t="str">
        <f>IFERROR((E30 - VLOOKUP(C30, 'Stock Entry'!B:E, 4, FALSE)) * D30, "")</f>
        <v/>
      </c>
    </row>
    <row r="31" spans="7:11" x14ac:dyDescent="0.25">
      <c r="G31" s="12" t="str">
        <f t="shared" si="0"/>
        <v/>
      </c>
      <c r="I31" s="12" t="str">
        <f t="shared" si="1"/>
        <v/>
      </c>
      <c r="J31" s="12" t="str">
        <f t="shared" si="2"/>
        <v/>
      </c>
      <c r="K31" s="12" t="str">
        <f>IFERROR((E31 - VLOOKUP(C31, 'Stock Entry'!B:E, 4, FALSE)) * D31, "")</f>
        <v/>
      </c>
    </row>
    <row r="32" spans="7:11" x14ac:dyDescent="0.25">
      <c r="G32" s="12" t="str">
        <f t="shared" si="0"/>
        <v/>
      </c>
      <c r="I32" s="12" t="str">
        <f t="shared" si="1"/>
        <v/>
      </c>
      <c r="J32" s="12" t="str">
        <f t="shared" si="2"/>
        <v/>
      </c>
      <c r="K32" s="12" t="str">
        <f>IFERROR((E32 - VLOOKUP(C32, 'Stock Entry'!B:E, 4, FALSE)) * D32, "")</f>
        <v/>
      </c>
    </row>
    <row r="33" spans="7:11" x14ac:dyDescent="0.25">
      <c r="G33" s="12" t="str">
        <f t="shared" si="0"/>
        <v/>
      </c>
      <c r="I33" s="12" t="str">
        <f t="shared" si="1"/>
        <v/>
      </c>
      <c r="J33" s="12" t="str">
        <f t="shared" si="2"/>
        <v/>
      </c>
      <c r="K33" s="12" t="str">
        <f>IFERROR((E33 - VLOOKUP(C33, 'Stock Entry'!B:E, 4, FALSE)) * D33, "")</f>
        <v/>
      </c>
    </row>
    <row r="34" spans="7:11" x14ac:dyDescent="0.25">
      <c r="G34" s="12" t="str">
        <f t="shared" si="0"/>
        <v/>
      </c>
      <c r="I34" s="12" t="str">
        <f t="shared" si="1"/>
        <v/>
      </c>
      <c r="J34" s="12" t="str">
        <f t="shared" si="2"/>
        <v/>
      </c>
      <c r="K34" s="12" t="str">
        <f>IFERROR((E34 - VLOOKUP(C34, 'Stock Entry'!B:E, 4, FALSE)) * D34, "")</f>
        <v/>
      </c>
    </row>
    <row r="35" spans="7:11" x14ac:dyDescent="0.25">
      <c r="G35" s="12" t="str">
        <f t="shared" si="0"/>
        <v/>
      </c>
      <c r="I35" s="12" t="str">
        <f t="shared" si="1"/>
        <v/>
      </c>
      <c r="J35" s="12" t="str">
        <f t="shared" si="2"/>
        <v/>
      </c>
      <c r="K35" s="12" t="str">
        <f>IFERROR((E35 - VLOOKUP(C35, 'Stock Entry'!B:E, 4, FALSE)) * D35, "")</f>
        <v/>
      </c>
    </row>
    <row r="36" spans="7:11" x14ac:dyDescent="0.25">
      <c r="G36" s="12" t="str">
        <f t="shared" si="0"/>
        <v/>
      </c>
      <c r="I36" s="12" t="str">
        <f t="shared" si="1"/>
        <v/>
      </c>
      <c r="J36" s="12" t="str">
        <f t="shared" si="2"/>
        <v/>
      </c>
      <c r="K36" s="12" t="str">
        <f>IFERROR((E36 - VLOOKUP(C36, 'Stock Entry'!B:E, 4, FALSE)) * D36, "")</f>
        <v/>
      </c>
    </row>
    <row r="37" spans="7:11" x14ac:dyDescent="0.25">
      <c r="G37" s="12" t="str">
        <f t="shared" si="0"/>
        <v/>
      </c>
      <c r="I37" s="12" t="str">
        <f t="shared" si="1"/>
        <v/>
      </c>
      <c r="J37" s="12" t="str">
        <f t="shared" si="2"/>
        <v/>
      </c>
      <c r="K37" s="12" t="str">
        <f>IFERROR((E37 - VLOOKUP(C37, 'Stock Entry'!B:E, 4, FALSE)) * D37, "")</f>
        <v/>
      </c>
    </row>
    <row r="38" spans="7:11" x14ac:dyDescent="0.25">
      <c r="G38" s="12" t="str">
        <f t="shared" si="0"/>
        <v/>
      </c>
      <c r="I38" s="12" t="str">
        <f t="shared" si="1"/>
        <v/>
      </c>
      <c r="J38" s="12" t="str">
        <f t="shared" si="2"/>
        <v/>
      </c>
      <c r="K38" s="12" t="str">
        <f>IFERROR((E38 - VLOOKUP(C38, 'Stock Entry'!B:E, 4, FALSE)) * D38, "")</f>
        <v/>
      </c>
    </row>
    <row r="39" spans="7:11" x14ac:dyDescent="0.25">
      <c r="G39" s="12" t="str">
        <f t="shared" si="0"/>
        <v/>
      </c>
      <c r="I39" s="12" t="str">
        <f t="shared" si="1"/>
        <v/>
      </c>
      <c r="J39" s="12" t="str">
        <f t="shared" si="2"/>
        <v/>
      </c>
      <c r="K39" s="12" t="str">
        <f>IFERROR((E39 - VLOOKUP(C39, 'Stock Entry'!B:E, 4, FALSE)) * D39, "")</f>
        <v/>
      </c>
    </row>
    <row r="40" spans="7:11" x14ac:dyDescent="0.25">
      <c r="G40" s="12" t="str">
        <f t="shared" si="0"/>
        <v/>
      </c>
      <c r="I40" s="12" t="str">
        <f t="shared" si="1"/>
        <v/>
      </c>
      <c r="J40" s="12" t="str">
        <f t="shared" si="2"/>
        <v/>
      </c>
      <c r="K40" s="12" t="str">
        <f>IFERROR((E40 - VLOOKUP(C40, 'Stock Entry'!B:E, 4, FALSE)) * D40, "")</f>
        <v/>
      </c>
    </row>
    <row r="41" spans="7:11" x14ac:dyDescent="0.25">
      <c r="G41" s="12" t="str">
        <f t="shared" si="0"/>
        <v/>
      </c>
      <c r="I41" s="12" t="str">
        <f t="shared" si="1"/>
        <v/>
      </c>
      <c r="J41" s="12" t="str">
        <f t="shared" si="2"/>
        <v/>
      </c>
      <c r="K41" s="12" t="str">
        <f>IFERROR((E41 - VLOOKUP(C41, 'Stock Entry'!B:E, 4, FALSE)) * D41, "")</f>
        <v/>
      </c>
    </row>
    <row r="42" spans="7:11" x14ac:dyDescent="0.25">
      <c r="G42" s="12" t="str">
        <f t="shared" si="0"/>
        <v/>
      </c>
      <c r="I42" s="12" t="str">
        <f t="shared" si="1"/>
        <v/>
      </c>
      <c r="J42" s="12" t="str">
        <f t="shared" si="2"/>
        <v/>
      </c>
      <c r="K42" s="12" t="str">
        <f>IFERROR((E42 - VLOOKUP(C42, 'Stock Entry'!B:E, 4, FALSE)) * D42, "")</f>
        <v/>
      </c>
    </row>
    <row r="43" spans="7:11" x14ac:dyDescent="0.25">
      <c r="G43" s="12" t="str">
        <f t="shared" si="0"/>
        <v/>
      </c>
      <c r="I43" s="12" t="str">
        <f t="shared" si="1"/>
        <v/>
      </c>
      <c r="J43" s="12" t="str">
        <f t="shared" si="2"/>
        <v/>
      </c>
      <c r="K43" s="12" t="str">
        <f>IFERROR((E43 - VLOOKUP(C43, 'Stock Entry'!B:E, 4, FALSE)) * D43, "")</f>
        <v/>
      </c>
    </row>
    <row r="44" spans="7:11" x14ac:dyDescent="0.25">
      <c r="G44" s="12" t="str">
        <f t="shared" si="0"/>
        <v/>
      </c>
      <c r="I44" s="12" t="str">
        <f t="shared" si="1"/>
        <v/>
      </c>
      <c r="J44" s="12" t="str">
        <f t="shared" si="2"/>
        <v/>
      </c>
      <c r="K44" s="12" t="str">
        <f>IFERROR((E44 - VLOOKUP(C44, 'Stock Entry'!B:E, 4, FALSE)) * D44, "")</f>
        <v/>
      </c>
    </row>
    <row r="45" spans="7:11" x14ac:dyDescent="0.25">
      <c r="G45" s="12" t="str">
        <f t="shared" si="0"/>
        <v/>
      </c>
      <c r="I45" s="12" t="str">
        <f t="shared" si="1"/>
        <v/>
      </c>
      <c r="J45" s="12" t="str">
        <f t="shared" si="2"/>
        <v/>
      </c>
      <c r="K45" s="12" t="str">
        <f>IFERROR((E45 - VLOOKUP(C45, 'Stock Entry'!B:E, 4, FALSE)) * D45, "")</f>
        <v/>
      </c>
    </row>
    <row r="46" spans="7:11" x14ac:dyDescent="0.25">
      <c r="G46" s="12" t="str">
        <f t="shared" si="0"/>
        <v/>
      </c>
      <c r="I46" s="12" t="str">
        <f t="shared" si="1"/>
        <v/>
      </c>
      <c r="J46" s="12" t="str">
        <f t="shared" si="2"/>
        <v/>
      </c>
      <c r="K46" s="12" t="str">
        <f>IFERROR((E46 - VLOOKUP(C46, 'Stock Entry'!B:E, 4, FALSE)) * D46, "")</f>
        <v/>
      </c>
    </row>
    <row r="47" spans="7:11" x14ac:dyDescent="0.25">
      <c r="G47" s="12" t="str">
        <f t="shared" si="0"/>
        <v/>
      </c>
      <c r="I47" s="12" t="str">
        <f t="shared" si="1"/>
        <v/>
      </c>
      <c r="J47" s="12" t="str">
        <f t="shared" si="2"/>
        <v/>
      </c>
      <c r="K47" s="12" t="str">
        <f>IFERROR((E47 - VLOOKUP(C47, 'Stock Entry'!B:E, 4, FALSE)) * D47, "")</f>
        <v/>
      </c>
    </row>
    <row r="48" spans="7:11" x14ac:dyDescent="0.25">
      <c r="G48" s="12" t="str">
        <f t="shared" si="0"/>
        <v/>
      </c>
      <c r="I48" s="12" t="str">
        <f t="shared" si="1"/>
        <v/>
      </c>
      <c r="J48" s="12" t="str">
        <f t="shared" si="2"/>
        <v/>
      </c>
      <c r="K48" s="12" t="str">
        <f>IFERROR((E48 - VLOOKUP(C48, 'Stock Entry'!B:E, 4, FALSE)) * D48, "")</f>
        <v/>
      </c>
    </row>
    <row r="49" spans="7:11" x14ac:dyDescent="0.25">
      <c r="G49" s="12" t="str">
        <f t="shared" si="0"/>
        <v/>
      </c>
      <c r="I49" s="12" t="str">
        <f t="shared" si="1"/>
        <v/>
      </c>
      <c r="J49" s="12" t="str">
        <f t="shared" si="2"/>
        <v/>
      </c>
      <c r="K49" s="12" t="str">
        <f>IFERROR((E49 - VLOOKUP(C49, 'Stock Entry'!B:E, 4, FALSE)) * D49, "")</f>
        <v/>
      </c>
    </row>
    <row r="50" spans="7:11" x14ac:dyDescent="0.25">
      <c r="G50" s="12" t="str">
        <f t="shared" si="0"/>
        <v/>
      </c>
      <c r="I50" s="12" t="str">
        <f t="shared" si="1"/>
        <v/>
      </c>
      <c r="J50" s="12" t="str">
        <f t="shared" si="2"/>
        <v/>
      </c>
      <c r="K50" s="12" t="str">
        <f>IFERROR((E50 - VLOOKUP(C50, 'Stock Entry'!B:E, 4, FALSE)) * D50, "")</f>
        <v/>
      </c>
    </row>
    <row r="51" spans="7:11" x14ac:dyDescent="0.25">
      <c r="G51" s="12" t="str">
        <f t="shared" si="0"/>
        <v/>
      </c>
      <c r="I51" s="12" t="str">
        <f t="shared" si="1"/>
        <v/>
      </c>
      <c r="J51" s="12" t="str">
        <f t="shared" si="2"/>
        <v/>
      </c>
      <c r="K51" s="12" t="str">
        <f>IFERROR((E51 - VLOOKUP(C51, 'Stock Entry'!B:E, 4, FALSE)) * D51, "")</f>
        <v/>
      </c>
    </row>
    <row r="52" spans="7:11" x14ac:dyDescent="0.25">
      <c r="G52" s="12" t="str">
        <f t="shared" si="0"/>
        <v/>
      </c>
      <c r="I52" s="12" t="str">
        <f t="shared" si="1"/>
        <v/>
      </c>
      <c r="J52" s="12" t="str">
        <f t="shared" si="2"/>
        <v/>
      </c>
      <c r="K52" s="12" t="str">
        <f>IFERROR((E52 - VLOOKUP(C52, 'Stock Entry'!B:E, 4, FALSE)) * D52, "")</f>
        <v/>
      </c>
    </row>
    <row r="53" spans="7:11" x14ac:dyDescent="0.25">
      <c r="G53" s="12" t="str">
        <f t="shared" si="0"/>
        <v/>
      </c>
      <c r="I53" s="12" t="str">
        <f t="shared" si="1"/>
        <v/>
      </c>
      <c r="J53" s="12" t="str">
        <f t="shared" si="2"/>
        <v/>
      </c>
      <c r="K53" s="12" t="str">
        <f>IFERROR((E53 - VLOOKUP(C53, 'Stock Entry'!B:E, 4, FALSE)) * D53, "")</f>
        <v/>
      </c>
    </row>
    <row r="54" spans="7:11" x14ac:dyDescent="0.25">
      <c r="G54" s="12" t="str">
        <f t="shared" si="0"/>
        <v/>
      </c>
      <c r="I54" s="12" t="str">
        <f t="shared" si="1"/>
        <v/>
      </c>
      <c r="J54" s="12" t="str">
        <f t="shared" si="2"/>
        <v/>
      </c>
      <c r="K54" s="12" t="str">
        <f>IFERROR((E54 - VLOOKUP(C54, 'Stock Entry'!B:E, 4, FALSE)) * D54, "")</f>
        <v/>
      </c>
    </row>
    <row r="55" spans="7:11" x14ac:dyDescent="0.25">
      <c r="G55" s="12" t="str">
        <f t="shared" si="0"/>
        <v/>
      </c>
      <c r="I55" s="12" t="str">
        <f t="shared" si="1"/>
        <v/>
      </c>
      <c r="J55" s="12" t="str">
        <f t="shared" si="2"/>
        <v/>
      </c>
      <c r="K55" s="12" t="str">
        <f>IFERROR((E55 - VLOOKUP(C55, 'Stock Entry'!B:E, 4, FALSE)) * D55, "")</f>
        <v/>
      </c>
    </row>
    <row r="56" spans="7:11" x14ac:dyDescent="0.25">
      <c r="G56" s="12" t="str">
        <f t="shared" si="0"/>
        <v/>
      </c>
      <c r="I56" s="12" t="str">
        <f t="shared" si="1"/>
        <v/>
      </c>
      <c r="J56" s="12" t="str">
        <f t="shared" si="2"/>
        <v/>
      </c>
      <c r="K56" s="12" t="str">
        <f>IFERROR((E56 - VLOOKUP(C56, 'Stock Entry'!B:E, 4, FALSE)) * D56, "")</f>
        <v/>
      </c>
    </row>
    <row r="57" spans="7:11" x14ac:dyDescent="0.25">
      <c r="G57" s="12" t="str">
        <f t="shared" si="0"/>
        <v/>
      </c>
      <c r="I57" s="12" t="str">
        <f t="shared" si="1"/>
        <v/>
      </c>
      <c r="J57" s="12" t="str">
        <f t="shared" si="2"/>
        <v/>
      </c>
      <c r="K57" s="12" t="str">
        <f>IFERROR((E57 - VLOOKUP(C57, 'Stock Entry'!B:E, 4, FALSE)) * D57, "")</f>
        <v/>
      </c>
    </row>
    <row r="58" spans="7:11" x14ac:dyDescent="0.25">
      <c r="G58" s="12" t="str">
        <f t="shared" si="0"/>
        <v/>
      </c>
      <c r="I58" s="12" t="str">
        <f t="shared" si="1"/>
        <v/>
      </c>
      <c r="J58" s="12" t="str">
        <f t="shared" si="2"/>
        <v/>
      </c>
      <c r="K58" s="12" t="str">
        <f>IFERROR((E58 - VLOOKUP(C58, 'Stock Entry'!B:E, 4, FALSE)) * D58, "")</f>
        <v/>
      </c>
    </row>
    <row r="59" spans="7:11" x14ac:dyDescent="0.25">
      <c r="G59" s="12" t="str">
        <f t="shared" si="0"/>
        <v/>
      </c>
      <c r="I59" s="12" t="str">
        <f t="shared" si="1"/>
        <v/>
      </c>
      <c r="J59" s="12" t="str">
        <f t="shared" si="2"/>
        <v/>
      </c>
      <c r="K59" s="12" t="str">
        <f>IFERROR((E59 - VLOOKUP(C59, 'Stock Entry'!B:E, 4, FALSE)) * D59, "")</f>
        <v/>
      </c>
    </row>
    <row r="60" spans="7:11" x14ac:dyDescent="0.25">
      <c r="G60" s="12" t="str">
        <f t="shared" si="0"/>
        <v/>
      </c>
      <c r="I60" s="12" t="str">
        <f t="shared" si="1"/>
        <v/>
      </c>
      <c r="J60" s="12" t="str">
        <f t="shared" si="2"/>
        <v/>
      </c>
      <c r="K60" s="12" t="str">
        <f>IFERROR((E60 - VLOOKUP(C60, 'Stock Entry'!B:E, 4, FALSE)) * D60, "")</f>
        <v/>
      </c>
    </row>
    <row r="61" spans="7:11" x14ac:dyDescent="0.25">
      <c r="G61" s="12" t="str">
        <f t="shared" si="0"/>
        <v/>
      </c>
      <c r="I61" s="12" t="str">
        <f t="shared" si="1"/>
        <v/>
      </c>
      <c r="J61" s="12" t="str">
        <f t="shared" si="2"/>
        <v/>
      </c>
      <c r="K61" s="12" t="str">
        <f>IFERROR((E61 - VLOOKUP(C61, 'Stock Entry'!B:E, 4, FALSE)) * D61, "")</f>
        <v/>
      </c>
    </row>
    <row r="62" spans="7:11" x14ac:dyDescent="0.25">
      <c r="G62" s="12" t="str">
        <f t="shared" si="0"/>
        <v/>
      </c>
      <c r="I62" s="12" t="str">
        <f t="shared" si="1"/>
        <v/>
      </c>
      <c r="J62" s="12" t="str">
        <f t="shared" si="2"/>
        <v/>
      </c>
      <c r="K62" s="12" t="str">
        <f>IFERROR((E62 - VLOOKUP(C62, 'Stock Entry'!B:E, 4, FALSE)) * D62, "")</f>
        <v/>
      </c>
    </row>
    <row r="63" spans="7:11" x14ac:dyDescent="0.25">
      <c r="G63" s="12" t="str">
        <f t="shared" si="0"/>
        <v/>
      </c>
      <c r="I63" s="12" t="str">
        <f t="shared" si="1"/>
        <v/>
      </c>
      <c r="J63" s="12" t="str">
        <f t="shared" si="2"/>
        <v/>
      </c>
      <c r="K63" s="12" t="str">
        <f>IFERROR((E63 - VLOOKUP(C63, 'Stock Entry'!B:E, 4, FALSE)) * D63, "")</f>
        <v/>
      </c>
    </row>
    <row r="64" spans="7:11" x14ac:dyDescent="0.25">
      <c r="G64" s="12" t="str">
        <f t="shared" si="0"/>
        <v/>
      </c>
      <c r="I64" s="12" t="str">
        <f t="shared" si="1"/>
        <v/>
      </c>
      <c r="J64" s="12" t="str">
        <f t="shared" si="2"/>
        <v/>
      </c>
      <c r="K64" s="12" t="str">
        <f>IFERROR((E64 - VLOOKUP(C64, 'Stock Entry'!B:E, 4, FALSE)) * D64, "")</f>
        <v/>
      </c>
    </row>
    <row r="65" spans="7:11" x14ac:dyDescent="0.25">
      <c r="G65" s="12" t="str">
        <f t="shared" si="0"/>
        <v/>
      </c>
      <c r="I65" s="12" t="str">
        <f t="shared" si="1"/>
        <v/>
      </c>
      <c r="J65" s="12" t="str">
        <f t="shared" si="2"/>
        <v/>
      </c>
      <c r="K65" s="12" t="str">
        <f>IFERROR((E65 - VLOOKUP(C65, 'Stock Entry'!B:E, 4, FALSE)) * D65, "")</f>
        <v/>
      </c>
    </row>
    <row r="66" spans="7:11" x14ac:dyDescent="0.25">
      <c r="G66" s="12" t="str">
        <f t="shared" si="0"/>
        <v/>
      </c>
      <c r="I66" s="12" t="str">
        <f t="shared" si="1"/>
        <v/>
      </c>
      <c r="J66" s="12" t="str">
        <f t="shared" si="2"/>
        <v/>
      </c>
      <c r="K66" s="12" t="str">
        <f>IFERROR((E66 - VLOOKUP(C66, 'Stock Entry'!B:E, 4, FALSE)) * D66, "")</f>
        <v/>
      </c>
    </row>
    <row r="67" spans="7:11" x14ac:dyDescent="0.25">
      <c r="G67" s="12" t="str">
        <f t="shared" ref="G67:G130" si="3">IF(F67="Full Cash", D67*E67, "")</f>
        <v/>
      </c>
      <c r="I67" s="12" t="str">
        <f t="shared" ref="I67:I130" si="4">IF(F67="Full Credit",D67*E67,IF(F67="Partly Payment",(D67*E67)-H67,""))</f>
        <v/>
      </c>
      <c r="J67" s="12" t="str">
        <f t="shared" ref="J67:J130" si="5">IF(F67="Full Cash", G67, IF(F67="Full Credit", I67, IF(F67="Partly Payment", H67+I67, "")))</f>
        <v/>
      </c>
      <c r="K67" s="12" t="str">
        <f>IFERROR((E67 - VLOOKUP(C67, 'Stock Entry'!B:E, 4, FALSE)) * D67, "")</f>
        <v/>
      </c>
    </row>
    <row r="68" spans="7:11" x14ac:dyDescent="0.25">
      <c r="G68" s="12" t="str">
        <f t="shared" si="3"/>
        <v/>
      </c>
      <c r="I68" s="12" t="str">
        <f t="shared" si="4"/>
        <v/>
      </c>
      <c r="J68" s="12" t="str">
        <f t="shared" si="5"/>
        <v/>
      </c>
      <c r="K68" s="12" t="str">
        <f>IFERROR((E68 - VLOOKUP(C68, 'Stock Entry'!B:E, 4, FALSE)) * D68, "")</f>
        <v/>
      </c>
    </row>
    <row r="69" spans="7:11" x14ac:dyDescent="0.25">
      <c r="G69" s="12" t="str">
        <f t="shared" si="3"/>
        <v/>
      </c>
      <c r="I69" s="12" t="str">
        <f t="shared" si="4"/>
        <v/>
      </c>
      <c r="J69" s="12" t="str">
        <f t="shared" si="5"/>
        <v/>
      </c>
      <c r="K69" s="12" t="str">
        <f>IFERROR((E69 - VLOOKUP(C69, 'Stock Entry'!B:E, 4, FALSE)) * D69, "")</f>
        <v/>
      </c>
    </row>
    <row r="70" spans="7:11" x14ac:dyDescent="0.25">
      <c r="G70" s="12" t="str">
        <f t="shared" si="3"/>
        <v/>
      </c>
      <c r="I70" s="12" t="str">
        <f t="shared" si="4"/>
        <v/>
      </c>
      <c r="J70" s="12" t="str">
        <f t="shared" si="5"/>
        <v/>
      </c>
      <c r="K70" s="12" t="str">
        <f>IFERROR((E70 - VLOOKUP(C70, 'Stock Entry'!B:E, 4, FALSE)) * D70, "")</f>
        <v/>
      </c>
    </row>
    <row r="71" spans="7:11" x14ac:dyDescent="0.25">
      <c r="G71" s="12" t="str">
        <f t="shared" si="3"/>
        <v/>
      </c>
      <c r="I71" s="12" t="str">
        <f t="shared" si="4"/>
        <v/>
      </c>
      <c r="J71" s="12" t="str">
        <f t="shared" si="5"/>
        <v/>
      </c>
      <c r="K71" s="12" t="str">
        <f>IFERROR((E71 - VLOOKUP(C71, 'Stock Entry'!B:E, 4, FALSE)) * D71, "")</f>
        <v/>
      </c>
    </row>
    <row r="72" spans="7:11" x14ac:dyDescent="0.25">
      <c r="G72" s="12" t="str">
        <f t="shared" si="3"/>
        <v/>
      </c>
      <c r="I72" s="12" t="str">
        <f t="shared" si="4"/>
        <v/>
      </c>
      <c r="J72" s="12" t="str">
        <f t="shared" si="5"/>
        <v/>
      </c>
      <c r="K72" s="12" t="str">
        <f>IFERROR((E72 - VLOOKUP(C72, 'Stock Entry'!B:E, 4, FALSE)) * D72, "")</f>
        <v/>
      </c>
    </row>
    <row r="73" spans="7:11" x14ac:dyDescent="0.25">
      <c r="G73" s="12" t="str">
        <f t="shared" si="3"/>
        <v/>
      </c>
      <c r="I73" s="12" t="str">
        <f t="shared" si="4"/>
        <v/>
      </c>
      <c r="J73" s="12" t="str">
        <f t="shared" si="5"/>
        <v/>
      </c>
      <c r="K73" s="12" t="str">
        <f>IFERROR((E73 - VLOOKUP(C73, 'Stock Entry'!B:E, 4, FALSE)) * D73, "")</f>
        <v/>
      </c>
    </row>
    <row r="74" spans="7:11" x14ac:dyDescent="0.25">
      <c r="G74" s="12" t="str">
        <f t="shared" si="3"/>
        <v/>
      </c>
      <c r="I74" s="12" t="str">
        <f t="shared" si="4"/>
        <v/>
      </c>
      <c r="J74" s="12" t="str">
        <f t="shared" si="5"/>
        <v/>
      </c>
      <c r="K74" s="12" t="str">
        <f>IFERROR((E74 - VLOOKUP(C74, 'Stock Entry'!B:E, 4, FALSE)) * D74, "")</f>
        <v/>
      </c>
    </row>
    <row r="75" spans="7:11" x14ac:dyDescent="0.25">
      <c r="G75" s="12" t="str">
        <f t="shared" si="3"/>
        <v/>
      </c>
      <c r="I75" s="12" t="str">
        <f t="shared" si="4"/>
        <v/>
      </c>
      <c r="J75" s="12" t="str">
        <f t="shared" si="5"/>
        <v/>
      </c>
      <c r="K75" s="12" t="str">
        <f>IFERROR((E75 - VLOOKUP(C75, 'Stock Entry'!B:E, 4, FALSE)) * D75, "")</f>
        <v/>
      </c>
    </row>
    <row r="76" spans="7:11" x14ac:dyDescent="0.25">
      <c r="G76" s="12" t="str">
        <f t="shared" si="3"/>
        <v/>
      </c>
      <c r="I76" s="12" t="str">
        <f t="shared" si="4"/>
        <v/>
      </c>
      <c r="J76" s="12" t="str">
        <f t="shared" si="5"/>
        <v/>
      </c>
      <c r="K76" s="12" t="str">
        <f>IFERROR((E76 - VLOOKUP(C76, 'Stock Entry'!B:E, 4, FALSE)) * D76, "")</f>
        <v/>
      </c>
    </row>
    <row r="77" spans="7:11" x14ac:dyDescent="0.25">
      <c r="G77" s="12" t="str">
        <f t="shared" si="3"/>
        <v/>
      </c>
      <c r="I77" s="12" t="str">
        <f t="shared" si="4"/>
        <v/>
      </c>
      <c r="J77" s="12" t="str">
        <f t="shared" si="5"/>
        <v/>
      </c>
      <c r="K77" s="12" t="str">
        <f>IFERROR((E77 - VLOOKUP(C77, 'Stock Entry'!B:E, 4, FALSE)) * D77, "")</f>
        <v/>
      </c>
    </row>
    <row r="78" spans="7:11" x14ac:dyDescent="0.25">
      <c r="G78" s="12" t="str">
        <f t="shared" si="3"/>
        <v/>
      </c>
      <c r="I78" s="12" t="str">
        <f t="shared" si="4"/>
        <v/>
      </c>
      <c r="J78" s="12" t="str">
        <f t="shared" si="5"/>
        <v/>
      </c>
      <c r="K78" s="12" t="str">
        <f>IFERROR((E78 - VLOOKUP(C78, 'Stock Entry'!B:E, 4, FALSE)) * D78, "")</f>
        <v/>
      </c>
    </row>
    <row r="79" spans="7:11" x14ac:dyDescent="0.25">
      <c r="G79" s="12" t="str">
        <f t="shared" si="3"/>
        <v/>
      </c>
      <c r="I79" s="12" t="str">
        <f t="shared" si="4"/>
        <v/>
      </c>
      <c r="J79" s="12" t="str">
        <f t="shared" si="5"/>
        <v/>
      </c>
      <c r="K79" s="12" t="str">
        <f>IFERROR((E79 - VLOOKUP(C79, 'Stock Entry'!B:E, 4, FALSE)) * D79, "")</f>
        <v/>
      </c>
    </row>
    <row r="80" spans="7:11" x14ac:dyDescent="0.25">
      <c r="G80" s="12" t="str">
        <f t="shared" si="3"/>
        <v/>
      </c>
      <c r="I80" s="12" t="str">
        <f t="shared" si="4"/>
        <v/>
      </c>
      <c r="J80" s="12" t="str">
        <f t="shared" si="5"/>
        <v/>
      </c>
      <c r="K80" s="12" t="str">
        <f>IFERROR((E80 - VLOOKUP(C80, 'Stock Entry'!B:E, 4, FALSE)) * D80, "")</f>
        <v/>
      </c>
    </row>
    <row r="81" spans="7:11" x14ac:dyDescent="0.25">
      <c r="G81" s="12" t="str">
        <f t="shared" si="3"/>
        <v/>
      </c>
      <c r="I81" s="12" t="str">
        <f t="shared" si="4"/>
        <v/>
      </c>
      <c r="J81" s="12" t="str">
        <f t="shared" si="5"/>
        <v/>
      </c>
      <c r="K81" s="12" t="str">
        <f>IFERROR((E81 - VLOOKUP(C81, 'Stock Entry'!B:E, 4, FALSE)) * D81, "")</f>
        <v/>
      </c>
    </row>
    <row r="82" spans="7:11" x14ac:dyDescent="0.25">
      <c r="G82" s="12" t="str">
        <f t="shared" si="3"/>
        <v/>
      </c>
      <c r="I82" s="12" t="str">
        <f t="shared" si="4"/>
        <v/>
      </c>
      <c r="J82" s="12" t="str">
        <f t="shared" si="5"/>
        <v/>
      </c>
      <c r="K82" s="12" t="str">
        <f>IFERROR((E82 - VLOOKUP(C82, 'Stock Entry'!B:E, 4, FALSE)) * D82, "")</f>
        <v/>
      </c>
    </row>
    <row r="83" spans="7:11" x14ac:dyDescent="0.25">
      <c r="G83" s="12" t="str">
        <f t="shared" si="3"/>
        <v/>
      </c>
      <c r="I83" s="12" t="str">
        <f t="shared" si="4"/>
        <v/>
      </c>
      <c r="J83" s="12" t="str">
        <f t="shared" si="5"/>
        <v/>
      </c>
      <c r="K83" s="12" t="str">
        <f>IFERROR((E83 - VLOOKUP(C83, 'Stock Entry'!B:E, 4, FALSE)) * D83, "")</f>
        <v/>
      </c>
    </row>
    <row r="84" spans="7:11" x14ac:dyDescent="0.25">
      <c r="G84" s="12" t="str">
        <f t="shared" si="3"/>
        <v/>
      </c>
      <c r="I84" s="12" t="str">
        <f t="shared" si="4"/>
        <v/>
      </c>
      <c r="J84" s="12" t="str">
        <f t="shared" si="5"/>
        <v/>
      </c>
      <c r="K84" s="12" t="str">
        <f>IFERROR((E84 - VLOOKUP(C84, 'Stock Entry'!B:E, 4, FALSE)) * D84, "")</f>
        <v/>
      </c>
    </row>
    <row r="85" spans="7:11" x14ac:dyDescent="0.25">
      <c r="G85" s="12" t="str">
        <f t="shared" si="3"/>
        <v/>
      </c>
      <c r="I85" s="12" t="str">
        <f t="shared" si="4"/>
        <v/>
      </c>
      <c r="J85" s="12" t="str">
        <f t="shared" si="5"/>
        <v/>
      </c>
      <c r="K85" s="12" t="str">
        <f>IFERROR((E85 - VLOOKUP(C85, 'Stock Entry'!B:E, 4, FALSE)) * D85, "")</f>
        <v/>
      </c>
    </row>
    <row r="86" spans="7:11" x14ac:dyDescent="0.25">
      <c r="G86" s="12" t="str">
        <f t="shared" si="3"/>
        <v/>
      </c>
      <c r="I86" s="12" t="str">
        <f t="shared" si="4"/>
        <v/>
      </c>
      <c r="J86" s="12" t="str">
        <f t="shared" si="5"/>
        <v/>
      </c>
      <c r="K86" s="12" t="str">
        <f>IFERROR((E86 - VLOOKUP(C86, 'Stock Entry'!B:E, 4, FALSE)) * D86, "")</f>
        <v/>
      </c>
    </row>
    <row r="87" spans="7:11" x14ac:dyDescent="0.25">
      <c r="G87" s="12" t="str">
        <f t="shared" si="3"/>
        <v/>
      </c>
      <c r="I87" s="12" t="str">
        <f t="shared" si="4"/>
        <v/>
      </c>
      <c r="J87" s="12" t="str">
        <f t="shared" si="5"/>
        <v/>
      </c>
      <c r="K87" s="12" t="str">
        <f>IFERROR((E87 - VLOOKUP(C87, 'Stock Entry'!B:E, 4, FALSE)) * D87, "")</f>
        <v/>
      </c>
    </row>
    <row r="88" spans="7:11" x14ac:dyDescent="0.25">
      <c r="G88" s="12" t="str">
        <f t="shared" si="3"/>
        <v/>
      </c>
      <c r="I88" s="12" t="str">
        <f t="shared" si="4"/>
        <v/>
      </c>
      <c r="J88" s="12" t="str">
        <f t="shared" si="5"/>
        <v/>
      </c>
      <c r="K88" s="12" t="str">
        <f>IFERROR((E88 - VLOOKUP(C88, 'Stock Entry'!B:E, 4, FALSE)) * D88, "")</f>
        <v/>
      </c>
    </row>
    <row r="89" spans="7:11" x14ac:dyDescent="0.25">
      <c r="G89" s="12" t="str">
        <f t="shared" si="3"/>
        <v/>
      </c>
      <c r="I89" s="12" t="str">
        <f t="shared" si="4"/>
        <v/>
      </c>
      <c r="J89" s="12" t="str">
        <f t="shared" si="5"/>
        <v/>
      </c>
      <c r="K89" s="12" t="str">
        <f>IFERROR((E89 - VLOOKUP(C89, 'Stock Entry'!B:E, 4, FALSE)) * D89, "")</f>
        <v/>
      </c>
    </row>
    <row r="90" spans="7:11" x14ac:dyDescent="0.25">
      <c r="G90" s="12" t="str">
        <f t="shared" si="3"/>
        <v/>
      </c>
      <c r="I90" s="12" t="str">
        <f t="shared" si="4"/>
        <v/>
      </c>
      <c r="J90" s="12" t="str">
        <f t="shared" si="5"/>
        <v/>
      </c>
      <c r="K90" s="12" t="str">
        <f>IFERROR((E90 - VLOOKUP(C90, 'Stock Entry'!B:E, 4, FALSE)) * D90, "")</f>
        <v/>
      </c>
    </row>
    <row r="91" spans="7:11" x14ac:dyDescent="0.25">
      <c r="G91" s="12" t="str">
        <f t="shared" si="3"/>
        <v/>
      </c>
      <c r="I91" s="12" t="str">
        <f t="shared" si="4"/>
        <v/>
      </c>
      <c r="J91" s="12" t="str">
        <f t="shared" si="5"/>
        <v/>
      </c>
      <c r="K91" s="12" t="str">
        <f>IFERROR((E91 - VLOOKUP(C91, 'Stock Entry'!B:E, 4, FALSE)) * D91, "")</f>
        <v/>
      </c>
    </row>
    <row r="92" spans="7:11" x14ac:dyDescent="0.25">
      <c r="G92" s="12" t="str">
        <f t="shared" si="3"/>
        <v/>
      </c>
      <c r="I92" s="12" t="str">
        <f t="shared" si="4"/>
        <v/>
      </c>
      <c r="J92" s="12" t="str">
        <f t="shared" si="5"/>
        <v/>
      </c>
      <c r="K92" s="12" t="str">
        <f>IFERROR((E92 - VLOOKUP(C92, 'Stock Entry'!B:E, 4, FALSE)) * D92, "")</f>
        <v/>
      </c>
    </row>
    <row r="93" spans="7:11" x14ac:dyDescent="0.25">
      <c r="G93" s="12" t="str">
        <f t="shared" si="3"/>
        <v/>
      </c>
      <c r="I93" s="12" t="str">
        <f t="shared" si="4"/>
        <v/>
      </c>
      <c r="J93" s="12" t="str">
        <f t="shared" si="5"/>
        <v/>
      </c>
      <c r="K93" s="12" t="str">
        <f>IFERROR((E93 - VLOOKUP(C93, 'Stock Entry'!B:E, 4, FALSE)) * D93, "")</f>
        <v/>
      </c>
    </row>
    <row r="94" spans="7:11" x14ac:dyDescent="0.25">
      <c r="G94" s="12" t="str">
        <f t="shared" si="3"/>
        <v/>
      </c>
      <c r="I94" s="12" t="str">
        <f t="shared" si="4"/>
        <v/>
      </c>
      <c r="J94" s="12" t="str">
        <f t="shared" si="5"/>
        <v/>
      </c>
      <c r="K94" s="12" t="str">
        <f>IFERROR((E94 - VLOOKUP(C94, 'Stock Entry'!B:E, 4, FALSE)) * D94, "")</f>
        <v/>
      </c>
    </row>
    <row r="95" spans="7:11" x14ac:dyDescent="0.25">
      <c r="G95" s="12" t="str">
        <f t="shared" si="3"/>
        <v/>
      </c>
      <c r="I95" s="12" t="str">
        <f t="shared" si="4"/>
        <v/>
      </c>
      <c r="J95" s="12" t="str">
        <f t="shared" si="5"/>
        <v/>
      </c>
      <c r="K95" s="12" t="str">
        <f>IFERROR((E95 - VLOOKUP(C95, 'Stock Entry'!B:E, 4, FALSE)) * D95, "")</f>
        <v/>
      </c>
    </row>
    <row r="96" spans="7:11" x14ac:dyDescent="0.25">
      <c r="G96" s="12" t="str">
        <f t="shared" si="3"/>
        <v/>
      </c>
      <c r="I96" s="12" t="str">
        <f t="shared" si="4"/>
        <v/>
      </c>
      <c r="J96" s="12" t="str">
        <f t="shared" si="5"/>
        <v/>
      </c>
      <c r="K96" s="12" t="str">
        <f>IFERROR((E96 - VLOOKUP(C96, 'Stock Entry'!B:E, 4, FALSE)) * D96, "")</f>
        <v/>
      </c>
    </row>
    <row r="97" spans="7:11" x14ac:dyDescent="0.25">
      <c r="G97" s="12" t="str">
        <f t="shared" si="3"/>
        <v/>
      </c>
      <c r="I97" s="12" t="str">
        <f t="shared" si="4"/>
        <v/>
      </c>
      <c r="J97" s="12" t="str">
        <f t="shared" si="5"/>
        <v/>
      </c>
      <c r="K97" s="12" t="str">
        <f>IFERROR((E97 - VLOOKUP(C97, 'Stock Entry'!B:E, 4, FALSE)) * D97, "")</f>
        <v/>
      </c>
    </row>
    <row r="98" spans="7:11" x14ac:dyDescent="0.25">
      <c r="G98" s="12" t="str">
        <f t="shared" si="3"/>
        <v/>
      </c>
      <c r="I98" s="12" t="str">
        <f t="shared" si="4"/>
        <v/>
      </c>
      <c r="J98" s="12" t="str">
        <f t="shared" si="5"/>
        <v/>
      </c>
      <c r="K98" s="12" t="str">
        <f>IFERROR((E98 - VLOOKUP(C98, 'Stock Entry'!B:E, 4, FALSE)) * D98, "")</f>
        <v/>
      </c>
    </row>
    <row r="99" spans="7:11" x14ac:dyDescent="0.25">
      <c r="G99" s="12" t="str">
        <f t="shared" si="3"/>
        <v/>
      </c>
      <c r="I99" s="12" t="str">
        <f t="shared" si="4"/>
        <v/>
      </c>
      <c r="J99" s="12" t="str">
        <f t="shared" si="5"/>
        <v/>
      </c>
      <c r="K99" s="12" t="str">
        <f>IFERROR((E99 - VLOOKUP(C99, 'Stock Entry'!B:E, 4, FALSE)) * D99, "")</f>
        <v/>
      </c>
    </row>
    <row r="100" spans="7:11" x14ac:dyDescent="0.25">
      <c r="G100" s="12" t="str">
        <f t="shared" si="3"/>
        <v/>
      </c>
      <c r="I100" s="12" t="str">
        <f t="shared" si="4"/>
        <v/>
      </c>
      <c r="J100" s="12" t="str">
        <f t="shared" si="5"/>
        <v/>
      </c>
      <c r="K100" s="12" t="str">
        <f>IFERROR((E100 - VLOOKUP(C100, 'Stock Entry'!B:E, 4, FALSE)) * D100, "")</f>
        <v/>
      </c>
    </row>
    <row r="101" spans="7:11" x14ac:dyDescent="0.25">
      <c r="G101" s="12" t="str">
        <f t="shared" si="3"/>
        <v/>
      </c>
      <c r="I101" s="12" t="str">
        <f t="shared" si="4"/>
        <v/>
      </c>
      <c r="J101" s="12" t="str">
        <f t="shared" si="5"/>
        <v/>
      </c>
      <c r="K101" s="12" t="str">
        <f>IFERROR((E101 - VLOOKUP(C101, 'Stock Entry'!B:E, 4, FALSE)) * D101, "")</f>
        <v/>
      </c>
    </row>
    <row r="102" spans="7:11" x14ac:dyDescent="0.25">
      <c r="G102" s="12" t="str">
        <f t="shared" si="3"/>
        <v/>
      </c>
      <c r="I102" s="12" t="str">
        <f t="shared" si="4"/>
        <v/>
      </c>
      <c r="J102" s="12" t="str">
        <f t="shared" si="5"/>
        <v/>
      </c>
      <c r="K102" s="12" t="str">
        <f>IFERROR((E102 - VLOOKUP(C102, 'Stock Entry'!B:E, 4, FALSE)) * D102, "")</f>
        <v/>
      </c>
    </row>
    <row r="103" spans="7:11" x14ac:dyDescent="0.25">
      <c r="G103" s="12" t="str">
        <f t="shared" si="3"/>
        <v/>
      </c>
      <c r="I103" s="12" t="str">
        <f t="shared" si="4"/>
        <v/>
      </c>
      <c r="J103" s="12" t="str">
        <f t="shared" si="5"/>
        <v/>
      </c>
      <c r="K103" s="12" t="str">
        <f>IFERROR((E103 - VLOOKUP(C103, 'Stock Entry'!B:E, 4, FALSE)) * D103, "")</f>
        <v/>
      </c>
    </row>
    <row r="104" spans="7:11" x14ac:dyDescent="0.25">
      <c r="G104" s="12" t="str">
        <f t="shared" si="3"/>
        <v/>
      </c>
      <c r="I104" s="12" t="str">
        <f t="shared" si="4"/>
        <v/>
      </c>
      <c r="J104" s="12" t="str">
        <f t="shared" si="5"/>
        <v/>
      </c>
      <c r="K104" s="12" t="str">
        <f>IFERROR((E104 - VLOOKUP(C104, 'Stock Entry'!B:E, 4, FALSE)) * D104, "")</f>
        <v/>
      </c>
    </row>
    <row r="105" spans="7:11" x14ac:dyDescent="0.25">
      <c r="G105" s="12" t="str">
        <f t="shared" si="3"/>
        <v/>
      </c>
      <c r="I105" s="12" t="str">
        <f t="shared" si="4"/>
        <v/>
      </c>
      <c r="J105" s="12" t="str">
        <f t="shared" si="5"/>
        <v/>
      </c>
      <c r="K105" s="12" t="str">
        <f>IFERROR((E105 - VLOOKUP(C105, 'Stock Entry'!B:E, 4, FALSE)) * D105, "")</f>
        <v/>
      </c>
    </row>
    <row r="106" spans="7:11" x14ac:dyDescent="0.25">
      <c r="G106" s="12" t="str">
        <f t="shared" si="3"/>
        <v/>
      </c>
      <c r="I106" s="12" t="str">
        <f t="shared" si="4"/>
        <v/>
      </c>
      <c r="J106" s="12" t="str">
        <f t="shared" si="5"/>
        <v/>
      </c>
      <c r="K106" s="12" t="str">
        <f>IFERROR((E106 - VLOOKUP(C106, 'Stock Entry'!B:E, 4, FALSE)) * D106, "")</f>
        <v/>
      </c>
    </row>
    <row r="107" spans="7:11" x14ac:dyDescent="0.25">
      <c r="G107" s="12" t="str">
        <f t="shared" si="3"/>
        <v/>
      </c>
      <c r="I107" s="12" t="str">
        <f t="shared" si="4"/>
        <v/>
      </c>
      <c r="J107" s="12" t="str">
        <f t="shared" si="5"/>
        <v/>
      </c>
      <c r="K107" s="12" t="str">
        <f>IFERROR((E107 - VLOOKUP(C107, 'Stock Entry'!B:E, 4, FALSE)) * D107, "")</f>
        <v/>
      </c>
    </row>
    <row r="108" spans="7:11" x14ac:dyDescent="0.25">
      <c r="G108" s="12" t="str">
        <f t="shared" si="3"/>
        <v/>
      </c>
      <c r="I108" s="12" t="str">
        <f t="shared" si="4"/>
        <v/>
      </c>
      <c r="J108" s="12" t="str">
        <f t="shared" si="5"/>
        <v/>
      </c>
      <c r="K108" s="12" t="str">
        <f>IFERROR((E108 - VLOOKUP(C108, 'Stock Entry'!B:E, 4, FALSE)) * D108, "")</f>
        <v/>
      </c>
    </row>
    <row r="109" spans="7:11" x14ac:dyDescent="0.25">
      <c r="G109" s="12" t="str">
        <f t="shared" si="3"/>
        <v/>
      </c>
      <c r="I109" s="12" t="str">
        <f t="shared" si="4"/>
        <v/>
      </c>
      <c r="J109" s="12" t="str">
        <f t="shared" si="5"/>
        <v/>
      </c>
      <c r="K109" s="12" t="str">
        <f>IFERROR((E109 - VLOOKUP(C109, 'Stock Entry'!B:E, 4, FALSE)) * D109, "")</f>
        <v/>
      </c>
    </row>
    <row r="110" spans="7:11" x14ac:dyDescent="0.25">
      <c r="G110" s="12" t="str">
        <f t="shared" si="3"/>
        <v/>
      </c>
      <c r="I110" s="12" t="str">
        <f t="shared" si="4"/>
        <v/>
      </c>
      <c r="J110" s="12" t="str">
        <f t="shared" si="5"/>
        <v/>
      </c>
      <c r="K110" s="12" t="str">
        <f>IFERROR((E110 - VLOOKUP(C110, 'Stock Entry'!B:E, 4, FALSE)) * D110, "")</f>
        <v/>
      </c>
    </row>
    <row r="111" spans="7:11" x14ac:dyDescent="0.25">
      <c r="G111" s="12" t="str">
        <f t="shared" si="3"/>
        <v/>
      </c>
      <c r="I111" s="12" t="str">
        <f t="shared" si="4"/>
        <v/>
      </c>
      <c r="J111" s="12" t="str">
        <f t="shared" si="5"/>
        <v/>
      </c>
      <c r="K111" s="12" t="str">
        <f>IFERROR((E111 - VLOOKUP(C111, 'Stock Entry'!B:E, 4, FALSE)) * D111, "")</f>
        <v/>
      </c>
    </row>
    <row r="112" spans="7:11" x14ac:dyDescent="0.25">
      <c r="G112" s="12" t="str">
        <f t="shared" si="3"/>
        <v/>
      </c>
      <c r="I112" s="12" t="str">
        <f t="shared" si="4"/>
        <v/>
      </c>
      <c r="J112" s="12" t="str">
        <f t="shared" si="5"/>
        <v/>
      </c>
      <c r="K112" s="12" t="str">
        <f>IFERROR((E112 - VLOOKUP(C112, 'Stock Entry'!B:E, 4, FALSE)) * D112, "")</f>
        <v/>
      </c>
    </row>
    <row r="113" spans="7:11" x14ac:dyDescent="0.25">
      <c r="G113" s="12" t="str">
        <f t="shared" si="3"/>
        <v/>
      </c>
      <c r="I113" s="12" t="str">
        <f t="shared" si="4"/>
        <v/>
      </c>
      <c r="J113" s="12" t="str">
        <f t="shared" si="5"/>
        <v/>
      </c>
      <c r="K113" s="12" t="str">
        <f>IFERROR((E113 - VLOOKUP(C113, 'Stock Entry'!B:E, 4, FALSE)) * D113, "")</f>
        <v/>
      </c>
    </row>
    <row r="114" spans="7:11" x14ac:dyDescent="0.25">
      <c r="G114" s="12" t="str">
        <f t="shared" si="3"/>
        <v/>
      </c>
      <c r="I114" s="12" t="str">
        <f t="shared" si="4"/>
        <v/>
      </c>
      <c r="J114" s="12" t="str">
        <f t="shared" si="5"/>
        <v/>
      </c>
      <c r="K114" s="12" t="str">
        <f>IFERROR((E114 - VLOOKUP(C114, 'Stock Entry'!B:E, 4, FALSE)) * D114, "")</f>
        <v/>
      </c>
    </row>
    <row r="115" spans="7:11" x14ac:dyDescent="0.25">
      <c r="G115" s="12" t="str">
        <f t="shared" si="3"/>
        <v/>
      </c>
      <c r="I115" s="12" t="str">
        <f t="shared" si="4"/>
        <v/>
      </c>
      <c r="J115" s="12" t="str">
        <f t="shared" si="5"/>
        <v/>
      </c>
      <c r="K115" s="12" t="str">
        <f>IFERROR((E115 - VLOOKUP(C115, 'Stock Entry'!B:E, 4, FALSE)) * D115, "")</f>
        <v/>
      </c>
    </row>
    <row r="116" spans="7:11" x14ac:dyDescent="0.25">
      <c r="G116" s="12" t="str">
        <f t="shared" si="3"/>
        <v/>
      </c>
      <c r="I116" s="12" t="str">
        <f t="shared" si="4"/>
        <v/>
      </c>
      <c r="J116" s="12" t="str">
        <f t="shared" si="5"/>
        <v/>
      </c>
      <c r="K116" s="12" t="str">
        <f>IFERROR((E116 - VLOOKUP(C116, 'Stock Entry'!B:E, 4, FALSE)) * D116, "")</f>
        <v/>
      </c>
    </row>
    <row r="117" spans="7:11" x14ac:dyDescent="0.25">
      <c r="G117" s="12" t="str">
        <f t="shared" si="3"/>
        <v/>
      </c>
      <c r="I117" s="12" t="str">
        <f t="shared" si="4"/>
        <v/>
      </c>
      <c r="J117" s="12" t="str">
        <f t="shared" si="5"/>
        <v/>
      </c>
      <c r="K117" s="12" t="str">
        <f>IFERROR((E117 - VLOOKUP(C117, 'Stock Entry'!B:E, 4, FALSE)) * D117, "")</f>
        <v/>
      </c>
    </row>
    <row r="118" spans="7:11" x14ac:dyDescent="0.25">
      <c r="G118" s="12" t="str">
        <f t="shared" si="3"/>
        <v/>
      </c>
      <c r="I118" s="12" t="str">
        <f t="shared" si="4"/>
        <v/>
      </c>
      <c r="J118" s="12" t="str">
        <f t="shared" si="5"/>
        <v/>
      </c>
      <c r="K118" s="12" t="str">
        <f>IFERROR((E118 - VLOOKUP(C118, 'Stock Entry'!B:E, 4, FALSE)) * D118, "")</f>
        <v/>
      </c>
    </row>
    <row r="119" spans="7:11" x14ac:dyDescent="0.25">
      <c r="G119" s="12" t="str">
        <f t="shared" si="3"/>
        <v/>
      </c>
      <c r="I119" s="12" t="str">
        <f t="shared" si="4"/>
        <v/>
      </c>
      <c r="J119" s="12" t="str">
        <f t="shared" si="5"/>
        <v/>
      </c>
      <c r="K119" s="12" t="str">
        <f>IFERROR((E119 - VLOOKUP(C119, 'Stock Entry'!B:E, 4, FALSE)) * D119, "")</f>
        <v/>
      </c>
    </row>
    <row r="120" spans="7:11" x14ac:dyDescent="0.25">
      <c r="G120" s="12" t="str">
        <f t="shared" si="3"/>
        <v/>
      </c>
      <c r="I120" s="12" t="str">
        <f t="shared" si="4"/>
        <v/>
      </c>
      <c r="J120" s="12" t="str">
        <f t="shared" si="5"/>
        <v/>
      </c>
      <c r="K120" s="12" t="str">
        <f>IFERROR((E120 - VLOOKUP(C120, 'Stock Entry'!B:E, 4, FALSE)) * D120, "")</f>
        <v/>
      </c>
    </row>
    <row r="121" spans="7:11" x14ac:dyDescent="0.25">
      <c r="G121" s="12" t="str">
        <f t="shared" si="3"/>
        <v/>
      </c>
      <c r="I121" s="12" t="str">
        <f t="shared" si="4"/>
        <v/>
      </c>
      <c r="J121" s="12" t="str">
        <f t="shared" si="5"/>
        <v/>
      </c>
      <c r="K121" s="12" t="str">
        <f>IFERROR((E121 - VLOOKUP(C121, 'Stock Entry'!B:E, 4, FALSE)) * D121, "")</f>
        <v/>
      </c>
    </row>
    <row r="122" spans="7:11" x14ac:dyDescent="0.25">
      <c r="G122" s="12" t="str">
        <f t="shared" si="3"/>
        <v/>
      </c>
      <c r="I122" s="12" t="str">
        <f t="shared" si="4"/>
        <v/>
      </c>
      <c r="J122" s="12" t="str">
        <f t="shared" si="5"/>
        <v/>
      </c>
      <c r="K122" s="12" t="str">
        <f>IFERROR((E122 - VLOOKUP(C122, 'Stock Entry'!B:E, 4, FALSE)) * D122, "")</f>
        <v/>
      </c>
    </row>
    <row r="123" spans="7:11" x14ac:dyDescent="0.25">
      <c r="G123" s="12" t="str">
        <f t="shared" si="3"/>
        <v/>
      </c>
      <c r="I123" s="12" t="str">
        <f t="shared" si="4"/>
        <v/>
      </c>
      <c r="J123" s="12" t="str">
        <f t="shared" si="5"/>
        <v/>
      </c>
      <c r="K123" s="12" t="str">
        <f>IFERROR((E123 - VLOOKUP(C123, 'Stock Entry'!B:E, 4, FALSE)) * D123, "")</f>
        <v/>
      </c>
    </row>
    <row r="124" spans="7:11" x14ac:dyDescent="0.25">
      <c r="G124" s="12" t="str">
        <f t="shared" si="3"/>
        <v/>
      </c>
      <c r="I124" s="12" t="str">
        <f t="shared" si="4"/>
        <v/>
      </c>
      <c r="J124" s="12" t="str">
        <f t="shared" si="5"/>
        <v/>
      </c>
      <c r="K124" s="12" t="str">
        <f>IFERROR((E124 - VLOOKUP(C124, 'Stock Entry'!B:E, 4, FALSE)) * D124, "")</f>
        <v/>
      </c>
    </row>
    <row r="125" spans="7:11" x14ac:dyDescent="0.25">
      <c r="G125" s="12" t="str">
        <f t="shared" si="3"/>
        <v/>
      </c>
      <c r="I125" s="12" t="str">
        <f t="shared" si="4"/>
        <v/>
      </c>
      <c r="J125" s="12" t="str">
        <f t="shared" si="5"/>
        <v/>
      </c>
      <c r="K125" s="12" t="str">
        <f>IFERROR((E125 - VLOOKUP(C125, 'Stock Entry'!B:E, 4, FALSE)) * D125, "")</f>
        <v/>
      </c>
    </row>
    <row r="126" spans="7:11" x14ac:dyDescent="0.25">
      <c r="G126" s="12" t="str">
        <f t="shared" si="3"/>
        <v/>
      </c>
      <c r="I126" s="12" t="str">
        <f t="shared" si="4"/>
        <v/>
      </c>
      <c r="J126" s="12" t="str">
        <f t="shared" si="5"/>
        <v/>
      </c>
      <c r="K126" s="12" t="str">
        <f>IFERROR((E126 - VLOOKUP(C126, 'Stock Entry'!B:E, 4, FALSE)) * D126, "")</f>
        <v/>
      </c>
    </row>
    <row r="127" spans="7:11" x14ac:dyDescent="0.25">
      <c r="G127" s="12" t="str">
        <f t="shared" si="3"/>
        <v/>
      </c>
      <c r="I127" s="12" t="str">
        <f t="shared" si="4"/>
        <v/>
      </c>
      <c r="J127" s="12" t="str">
        <f t="shared" si="5"/>
        <v/>
      </c>
      <c r="K127" s="12" t="str">
        <f>IFERROR((E127 - VLOOKUP(C127, 'Stock Entry'!B:E, 4, FALSE)) * D127, "")</f>
        <v/>
      </c>
    </row>
    <row r="128" spans="7:11" x14ac:dyDescent="0.25">
      <c r="G128" s="12" t="str">
        <f t="shared" si="3"/>
        <v/>
      </c>
      <c r="I128" s="12" t="str">
        <f t="shared" si="4"/>
        <v/>
      </c>
      <c r="J128" s="12" t="str">
        <f t="shared" si="5"/>
        <v/>
      </c>
      <c r="K128" s="12" t="str">
        <f>IFERROR((E128 - VLOOKUP(C128, 'Stock Entry'!B:E, 4, FALSE)) * D128, "")</f>
        <v/>
      </c>
    </row>
    <row r="129" spans="7:11" x14ac:dyDescent="0.25">
      <c r="G129" s="12" t="str">
        <f t="shared" si="3"/>
        <v/>
      </c>
      <c r="I129" s="12" t="str">
        <f t="shared" si="4"/>
        <v/>
      </c>
      <c r="J129" s="12" t="str">
        <f t="shared" si="5"/>
        <v/>
      </c>
      <c r="K129" s="12" t="str">
        <f>IFERROR((E129 - VLOOKUP(C129, 'Stock Entry'!B:E, 4, FALSE)) * D129, "")</f>
        <v/>
      </c>
    </row>
    <row r="130" spans="7:11" x14ac:dyDescent="0.25">
      <c r="G130" s="12" t="str">
        <f t="shared" si="3"/>
        <v/>
      </c>
      <c r="I130" s="12" t="str">
        <f t="shared" si="4"/>
        <v/>
      </c>
      <c r="J130" s="12" t="str">
        <f t="shared" si="5"/>
        <v/>
      </c>
      <c r="K130" s="12" t="str">
        <f>IFERROR((E130 - VLOOKUP(C130, 'Stock Entry'!B:E, 4, FALSE)) * D130, "")</f>
        <v/>
      </c>
    </row>
    <row r="131" spans="7:11" x14ac:dyDescent="0.25">
      <c r="G131" s="12" t="str">
        <f t="shared" ref="G131:G194" si="6">IF(F131="Full Cash", D131*E131, "")</f>
        <v/>
      </c>
      <c r="I131" s="12" t="str">
        <f t="shared" ref="I131:I194" si="7">IF(F131="Full Credit",D131*E131,IF(F131="Partly Payment",(D131*E131)-H131,""))</f>
        <v/>
      </c>
      <c r="J131" s="12" t="str">
        <f t="shared" ref="J131:J194" si="8">IF(F131="Full Cash", G131, IF(F131="Full Credit", I131, IF(F131="Partly Payment", H131+I131, "")))</f>
        <v/>
      </c>
      <c r="K131" s="12" t="str">
        <f>IFERROR((E131 - VLOOKUP(C131, 'Stock Entry'!B:E, 4, FALSE)) * D131, "")</f>
        <v/>
      </c>
    </row>
    <row r="132" spans="7:11" x14ac:dyDescent="0.25">
      <c r="G132" s="12" t="str">
        <f t="shared" si="6"/>
        <v/>
      </c>
      <c r="I132" s="12" t="str">
        <f t="shared" si="7"/>
        <v/>
      </c>
      <c r="J132" s="12" t="str">
        <f t="shared" si="8"/>
        <v/>
      </c>
      <c r="K132" s="12" t="str">
        <f>IFERROR((E132 - VLOOKUP(C132, 'Stock Entry'!B:E, 4, FALSE)) * D132, "")</f>
        <v/>
      </c>
    </row>
    <row r="133" spans="7:11" x14ac:dyDescent="0.25">
      <c r="G133" s="12" t="str">
        <f t="shared" si="6"/>
        <v/>
      </c>
      <c r="I133" s="12" t="str">
        <f t="shared" si="7"/>
        <v/>
      </c>
      <c r="J133" s="12" t="str">
        <f t="shared" si="8"/>
        <v/>
      </c>
      <c r="K133" s="12" t="str">
        <f>IFERROR((E133 - VLOOKUP(C133, 'Stock Entry'!B:E, 4, FALSE)) * D133, "")</f>
        <v/>
      </c>
    </row>
    <row r="134" spans="7:11" x14ac:dyDescent="0.25">
      <c r="G134" s="12" t="str">
        <f t="shared" si="6"/>
        <v/>
      </c>
      <c r="I134" s="12" t="str">
        <f t="shared" si="7"/>
        <v/>
      </c>
      <c r="J134" s="12" t="str">
        <f t="shared" si="8"/>
        <v/>
      </c>
      <c r="K134" s="12" t="str">
        <f>IFERROR((E134 - VLOOKUP(C134, 'Stock Entry'!B:E, 4, FALSE)) * D134, "")</f>
        <v/>
      </c>
    </row>
    <row r="135" spans="7:11" x14ac:dyDescent="0.25">
      <c r="G135" s="12" t="str">
        <f t="shared" si="6"/>
        <v/>
      </c>
      <c r="I135" s="12" t="str">
        <f t="shared" si="7"/>
        <v/>
      </c>
      <c r="J135" s="12" t="str">
        <f t="shared" si="8"/>
        <v/>
      </c>
      <c r="K135" s="12" t="str">
        <f>IFERROR((E135 - VLOOKUP(C135, 'Stock Entry'!B:E, 4, FALSE)) * D135, "")</f>
        <v/>
      </c>
    </row>
    <row r="136" spans="7:11" x14ac:dyDescent="0.25">
      <c r="G136" s="12" t="str">
        <f t="shared" si="6"/>
        <v/>
      </c>
      <c r="I136" s="12" t="str">
        <f t="shared" si="7"/>
        <v/>
      </c>
      <c r="J136" s="12" t="str">
        <f t="shared" si="8"/>
        <v/>
      </c>
      <c r="K136" s="12" t="str">
        <f>IFERROR((E136 - VLOOKUP(C136, 'Stock Entry'!B:E, 4, FALSE)) * D136, "")</f>
        <v/>
      </c>
    </row>
    <row r="137" spans="7:11" x14ac:dyDescent="0.25">
      <c r="G137" s="12" t="str">
        <f t="shared" si="6"/>
        <v/>
      </c>
      <c r="I137" s="12" t="str">
        <f t="shared" si="7"/>
        <v/>
      </c>
      <c r="J137" s="12" t="str">
        <f t="shared" si="8"/>
        <v/>
      </c>
      <c r="K137" s="12" t="str">
        <f>IFERROR((E137 - VLOOKUP(C137, 'Stock Entry'!B:E, 4, FALSE)) * D137, "")</f>
        <v/>
      </c>
    </row>
    <row r="138" spans="7:11" x14ac:dyDescent="0.25">
      <c r="G138" s="12" t="str">
        <f t="shared" si="6"/>
        <v/>
      </c>
      <c r="I138" s="12" t="str">
        <f t="shared" si="7"/>
        <v/>
      </c>
      <c r="J138" s="12" t="str">
        <f t="shared" si="8"/>
        <v/>
      </c>
      <c r="K138" s="12" t="str">
        <f>IFERROR((E138 - VLOOKUP(C138, 'Stock Entry'!B:E, 4, FALSE)) * D138, "")</f>
        <v/>
      </c>
    </row>
    <row r="139" spans="7:11" x14ac:dyDescent="0.25">
      <c r="G139" s="12" t="str">
        <f t="shared" si="6"/>
        <v/>
      </c>
      <c r="I139" s="12" t="str">
        <f t="shared" si="7"/>
        <v/>
      </c>
      <c r="J139" s="12" t="str">
        <f t="shared" si="8"/>
        <v/>
      </c>
      <c r="K139" s="12" t="str">
        <f>IFERROR((E139 - VLOOKUP(C139, 'Stock Entry'!B:E, 4, FALSE)) * D139, "")</f>
        <v/>
      </c>
    </row>
    <row r="140" spans="7:11" x14ac:dyDescent="0.25">
      <c r="G140" s="12" t="str">
        <f t="shared" si="6"/>
        <v/>
      </c>
      <c r="I140" s="12" t="str">
        <f t="shared" si="7"/>
        <v/>
      </c>
      <c r="J140" s="12" t="str">
        <f t="shared" si="8"/>
        <v/>
      </c>
      <c r="K140" s="12" t="str">
        <f>IFERROR((E140 - VLOOKUP(C140, 'Stock Entry'!B:E, 4, FALSE)) * D140, "")</f>
        <v/>
      </c>
    </row>
    <row r="141" spans="7:11" x14ac:dyDescent="0.25">
      <c r="G141" s="12" t="str">
        <f t="shared" si="6"/>
        <v/>
      </c>
      <c r="I141" s="12" t="str">
        <f t="shared" si="7"/>
        <v/>
      </c>
      <c r="J141" s="12" t="str">
        <f t="shared" si="8"/>
        <v/>
      </c>
      <c r="K141" s="12" t="str">
        <f>IFERROR((E141 - VLOOKUP(C141, 'Stock Entry'!B:E, 4, FALSE)) * D141, "")</f>
        <v/>
      </c>
    </row>
    <row r="142" spans="7:11" x14ac:dyDescent="0.25">
      <c r="G142" s="12" t="str">
        <f t="shared" si="6"/>
        <v/>
      </c>
      <c r="I142" s="12" t="str">
        <f t="shared" si="7"/>
        <v/>
      </c>
      <c r="J142" s="12" t="str">
        <f t="shared" si="8"/>
        <v/>
      </c>
      <c r="K142" s="12" t="str">
        <f>IFERROR((E142 - VLOOKUP(C142, 'Stock Entry'!B:E, 4, FALSE)) * D142, "")</f>
        <v/>
      </c>
    </row>
    <row r="143" spans="7:11" x14ac:dyDescent="0.25">
      <c r="G143" s="12" t="str">
        <f t="shared" si="6"/>
        <v/>
      </c>
      <c r="I143" s="12" t="str">
        <f t="shared" si="7"/>
        <v/>
      </c>
      <c r="J143" s="12" t="str">
        <f t="shared" si="8"/>
        <v/>
      </c>
      <c r="K143" s="12" t="str">
        <f>IFERROR((E143 - VLOOKUP(C143, 'Stock Entry'!B:E, 4, FALSE)) * D143, "")</f>
        <v/>
      </c>
    </row>
    <row r="144" spans="7:11" x14ac:dyDescent="0.25">
      <c r="G144" s="12" t="str">
        <f t="shared" si="6"/>
        <v/>
      </c>
      <c r="I144" s="12" t="str">
        <f t="shared" si="7"/>
        <v/>
      </c>
      <c r="J144" s="12" t="str">
        <f t="shared" si="8"/>
        <v/>
      </c>
      <c r="K144" s="12" t="str">
        <f>IFERROR((E144 - VLOOKUP(C144, 'Stock Entry'!B:E, 4, FALSE)) * D144, "")</f>
        <v/>
      </c>
    </row>
    <row r="145" spans="7:11" x14ac:dyDescent="0.25">
      <c r="G145" s="12" t="str">
        <f t="shared" si="6"/>
        <v/>
      </c>
      <c r="I145" s="12" t="str">
        <f t="shared" si="7"/>
        <v/>
      </c>
      <c r="J145" s="12" t="str">
        <f t="shared" si="8"/>
        <v/>
      </c>
      <c r="K145" s="12" t="str">
        <f>IFERROR((E145 - VLOOKUP(C145, 'Stock Entry'!B:E, 4, FALSE)) * D145, "")</f>
        <v/>
      </c>
    </row>
    <row r="146" spans="7:11" x14ac:dyDescent="0.25">
      <c r="G146" s="12" t="str">
        <f t="shared" si="6"/>
        <v/>
      </c>
      <c r="I146" s="12" t="str">
        <f t="shared" si="7"/>
        <v/>
      </c>
      <c r="J146" s="12" t="str">
        <f t="shared" si="8"/>
        <v/>
      </c>
      <c r="K146" s="12" t="str">
        <f>IFERROR((E146 - VLOOKUP(C146, 'Stock Entry'!B:E, 4, FALSE)) * D146, "")</f>
        <v/>
      </c>
    </row>
    <row r="147" spans="7:11" x14ac:dyDescent="0.25">
      <c r="G147" s="12" t="str">
        <f t="shared" si="6"/>
        <v/>
      </c>
      <c r="I147" s="12" t="str">
        <f t="shared" si="7"/>
        <v/>
      </c>
      <c r="J147" s="12" t="str">
        <f t="shared" si="8"/>
        <v/>
      </c>
      <c r="K147" s="12" t="str">
        <f>IFERROR((E147 - VLOOKUP(C147, 'Stock Entry'!B:E, 4, FALSE)) * D147, "")</f>
        <v/>
      </c>
    </row>
    <row r="148" spans="7:11" x14ac:dyDescent="0.25">
      <c r="G148" s="12" t="str">
        <f t="shared" si="6"/>
        <v/>
      </c>
      <c r="I148" s="12" t="str">
        <f t="shared" si="7"/>
        <v/>
      </c>
      <c r="J148" s="12" t="str">
        <f t="shared" si="8"/>
        <v/>
      </c>
      <c r="K148" s="12" t="str">
        <f>IFERROR((E148 - VLOOKUP(C148, 'Stock Entry'!B:E, 4, FALSE)) * D148, "")</f>
        <v/>
      </c>
    </row>
    <row r="149" spans="7:11" x14ac:dyDescent="0.25">
      <c r="G149" s="12" t="str">
        <f t="shared" si="6"/>
        <v/>
      </c>
      <c r="I149" s="12" t="str">
        <f t="shared" si="7"/>
        <v/>
      </c>
      <c r="J149" s="12" t="str">
        <f t="shared" si="8"/>
        <v/>
      </c>
      <c r="K149" s="12" t="str">
        <f>IFERROR((E149 - VLOOKUP(C149, 'Stock Entry'!B:E, 4, FALSE)) * D149, "")</f>
        <v/>
      </c>
    </row>
    <row r="150" spans="7:11" x14ac:dyDescent="0.25">
      <c r="G150" s="12" t="str">
        <f t="shared" si="6"/>
        <v/>
      </c>
      <c r="I150" s="12" t="str">
        <f t="shared" si="7"/>
        <v/>
      </c>
      <c r="J150" s="12" t="str">
        <f t="shared" si="8"/>
        <v/>
      </c>
      <c r="K150" s="12" t="str">
        <f>IFERROR((E150 - VLOOKUP(C150, 'Stock Entry'!B:E, 4, FALSE)) * D150, "")</f>
        <v/>
      </c>
    </row>
    <row r="151" spans="7:11" x14ac:dyDescent="0.25">
      <c r="G151" s="12" t="str">
        <f t="shared" si="6"/>
        <v/>
      </c>
      <c r="I151" s="12" t="str">
        <f t="shared" si="7"/>
        <v/>
      </c>
      <c r="J151" s="12" t="str">
        <f t="shared" si="8"/>
        <v/>
      </c>
      <c r="K151" s="12" t="str">
        <f>IFERROR((E151 - VLOOKUP(C151, 'Stock Entry'!B:E, 4, FALSE)) * D151, "")</f>
        <v/>
      </c>
    </row>
    <row r="152" spans="7:11" x14ac:dyDescent="0.25">
      <c r="G152" s="12" t="str">
        <f t="shared" si="6"/>
        <v/>
      </c>
      <c r="I152" s="12" t="str">
        <f t="shared" si="7"/>
        <v/>
      </c>
      <c r="J152" s="12" t="str">
        <f t="shared" si="8"/>
        <v/>
      </c>
      <c r="K152" s="12" t="str">
        <f>IFERROR((E152 - VLOOKUP(C152, 'Stock Entry'!B:E, 4, FALSE)) * D152, "")</f>
        <v/>
      </c>
    </row>
    <row r="153" spans="7:11" x14ac:dyDescent="0.25">
      <c r="G153" s="12" t="str">
        <f t="shared" si="6"/>
        <v/>
      </c>
      <c r="I153" s="12" t="str">
        <f t="shared" si="7"/>
        <v/>
      </c>
      <c r="J153" s="12" t="str">
        <f t="shared" si="8"/>
        <v/>
      </c>
      <c r="K153" s="12" t="str">
        <f>IFERROR((E153 - VLOOKUP(C153, 'Stock Entry'!B:E, 4, FALSE)) * D153, "")</f>
        <v/>
      </c>
    </row>
    <row r="154" spans="7:11" x14ac:dyDescent="0.25">
      <c r="G154" s="12" t="str">
        <f t="shared" si="6"/>
        <v/>
      </c>
      <c r="I154" s="12" t="str">
        <f t="shared" si="7"/>
        <v/>
      </c>
      <c r="J154" s="12" t="str">
        <f t="shared" si="8"/>
        <v/>
      </c>
      <c r="K154" s="12" t="str">
        <f>IFERROR((E154 - VLOOKUP(C154, 'Stock Entry'!B:E, 4, FALSE)) * D154, "")</f>
        <v/>
      </c>
    </row>
    <row r="155" spans="7:11" x14ac:dyDescent="0.25">
      <c r="G155" s="12" t="str">
        <f t="shared" si="6"/>
        <v/>
      </c>
      <c r="I155" s="12" t="str">
        <f t="shared" si="7"/>
        <v/>
      </c>
      <c r="J155" s="12" t="str">
        <f t="shared" si="8"/>
        <v/>
      </c>
      <c r="K155" s="12" t="str">
        <f>IFERROR((E155 - VLOOKUP(C155, 'Stock Entry'!B:E, 4, FALSE)) * D155, "")</f>
        <v/>
      </c>
    </row>
    <row r="156" spans="7:11" x14ac:dyDescent="0.25">
      <c r="G156" s="12" t="str">
        <f t="shared" si="6"/>
        <v/>
      </c>
      <c r="I156" s="12" t="str">
        <f t="shared" si="7"/>
        <v/>
      </c>
      <c r="J156" s="12" t="str">
        <f t="shared" si="8"/>
        <v/>
      </c>
      <c r="K156" s="12" t="str">
        <f>IFERROR((E156 - VLOOKUP(C156, 'Stock Entry'!B:E, 4, FALSE)) * D156, "")</f>
        <v/>
      </c>
    </row>
    <row r="157" spans="7:11" x14ac:dyDescent="0.25">
      <c r="G157" s="12" t="str">
        <f t="shared" si="6"/>
        <v/>
      </c>
      <c r="I157" s="12" t="str">
        <f t="shared" si="7"/>
        <v/>
      </c>
      <c r="J157" s="12" t="str">
        <f t="shared" si="8"/>
        <v/>
      </c>
      <c r="K157" s="12" t="str">
        <f>IFERROR((E157 - VLOOKUP(C157, 'Stock Entry'!B:E, 4, FALSE)) * D157, "")</f>
        <v/>
      </c>
    </row>
    <row r="158" spans="7:11" x14ac:dyDescent="0.25">
      <c r="G158" s="12" t="str">
        <f t="shared" si="6"/>
        <v/>
      </c>
      <c r="I158" s="12" t="str">
        <f t="shared" si="7"/>
        <v/>
      </c>
      <c r="J158" s="12" t="str">
        <f t="shared" si="8"/>
        <v/>
      </c>
      <c r="K158" s="12" t="str">
        <f>IFERROR((E158 - VLOOKUP(C158, 'Stock Entry'!B:E, 4, FALSE)) * D158, "")</f>
        <v/>
      </c>
    </row>
    <row r="159" spans="7:11" x14ac:dyDescent="0.25">
      <c r="G159" s="12" t="str">
        <f t="shared" si="6"/>
        <v/>
      </c>
      <c r="I159" s="12" t="str">
        <f t="shared" si="7"/>
        <v/>
      </c>
      <c r="J159" s="12" t="str">
        <f t="shared" si="8"/>
        <v/>
      </c>
      <c r="K159" s="12" t="str">
        <f>IFERROR((E159 - VLOOKUP(C159, 'Stock Entry'!B:E, 4, FALSE)) * D159, "")</f>
        <v/>
      </c>
    </row>
    <row r="160" spans="7:11" x14ac:dyDescent="0.25">
      <c r="G160" s="12" t="str">
        <f t="shared" si="6"/>
        <v/>
      </c>
      <c r="I160" s="12" t="str">
        <f t="shared" si="7"/>
        <v/>
      </c>
      <c r="J160" s="12" t="str">
        <f t="shared" si="8"/>
        <v/>
      </c>
      <c r="K160" s="12" t="str">
        <f>IFERROR((E160 - VLOOKUP(C160, 'Stock Entry'!B:E, 4, FALSE)) * D160, "")</f>
        <v/>
      </c>
    </row>
    <row r="161" spans="7:11" x14ac:dyDescent="0.25">
      <c r="G161" s="12" t="str">
        <f t="shared" si="6"/>
        <v/>
      </c>
      <c r="I161" s="12" t="str">
        <f t="shared" si="7"/>
        <v/>
      </c>
      <c r="J161" s="12" t="str">
        <f t="shared" si="8"/>
        <v/>
      </c>
      <c r="K161" s="12" t="str">
        <f>IFERROR((E161 - VLOOKUP(C161, 'Stock Entry'!B:E, 4, FALSE)) * D161, "")</f>
        <v/>
      </c>
    </row>
    <row r="162" spans="7:11" x14ac:dyDescent="0.25">
      <c r="G162" s="12" t="str">
        <f t="shared" si="6"/>
        <v/>
      </c>
      <c r="I162" s="12" t="str">
        <f t="shared" si="7"/>
        <v/>
      </c>
      <c r="J162" s="12" t="str">
        <f t="shared" si="8"/>
        <v/>
      </c>
      <c r="K162" s="12" t="str">
        <f>IFERROR((E162 - VLOOKUP(C162, 'Stock Entry'!B:E, 4, FALSE)) * D162, "")</f>
        <v/>
      </c>
    </row>
    <row r="163" spans="7:11" x14ac:dyDescent="0.25">
      <c r="G163" s="12" t="str">
        <f t="shared" si="6"/>
        <v/>
      </c>
      <c r="I163" s="12" t="str">
        <f t="shared" si="7"/>
        <v/>
      </c>
      <c r="J163" s="12" t="str">
        <f t="shared" si="8"/>
        <v/>
      </c>
      <c r="K163" s="12" t="str">
        <f>IFERROR((E163 - VLOOKUP(C163, 'Stock Entry'!B:E, 4, FALSE)) * D163, "")</f>
        <v/>
      </c>
    </row>
    <row r="164" spans="7:11" x14ac:dyDescent="0.25">
      <c r="G164" s="12" t="str">
        <f t="shared" si="6"/>
        <v/>
      </c>
      <c r="I164" s="12" t="str">
        <f t="shared" si="7"/>
        <v/>
      </c>
      <c r="J164" s="12" t="str">
        <f t="shared" si="8"/>
        <v/>
      </c>
      <c r="K164" s="12" t="str">
        <f>IFERROR((E164 - VLOOKUP(C164, 'Stock Entry'!B:E, 4, FALSE)) * D164, "")</f>
        <v/>
      </c>
    </row>
    <row r="165" spans="7:11" x14ac:dyDescent="0.25">
      <c r="G165" s="12" t="str">
        <f t="shared" si="6"/>
        <v/>
      </c>
      <c r="I165" s="12" t="str">
        <f t="shared" si="7"/>
        <v/>
      </c>
      <c r="J165" s="12" t="str">
        <f t="shared" si="8"/>
        <v/>
      </c>
      <c r="K165" s="12" t="str">
        <f>IFERROR((E165 - VLOOKUP(C165, 'Stock Entry'!B:E, 4, FALSE)) * D165, "")</f>
        <v/>
      </c>
    </row>
    <row r="166" spans="7:11" x14ac:dyDescent="0.25">
      <c r="G166" s="12" t="str">
        <f t="shared" si="6"/>
        <v/>
      </c>
      <c r="I166" s="12" t="str">
        <f t="shared" si="7"/>
        <v/>
      </c>
      <c r="J166" s="12" t="str">
        <f t="shared" si="8"/>
        <v/>
      </c>
      <c r="K166" s="12" t="str">
        <f>IFERROR((E166 - VLOOKUP(C166, 'Stock Entry'!B:E, 4, FALSE)) * D166, "")</f>
        <v/>
      </c>
    </row>
    <row r="167" spans="7:11" x14ac:dyDescent="0.25">
      <c r="G167" s="12" t="str">
        <f t="shared" si="6"/>
        <v/>
      </c>
      <c r="I167" s="12" t="str">
        <f t="shared" si="7"/>
        <v/>
      </c>
      <c r="J167" s="12" t="str">
        <f t="shared" si="8"/>
        <v/>
      </c>
      <c r="K167" s="12" t="str">
        <f>IFERROR((E167 - VLOOKUP(C167, 'Stock Entry'!B:E, 4, FALSE)) * D167, "")</f>
        <v/>
      </c>
    </row>
    <row r="168" spans="7:11" x14ac:dyDescent="0.25">
      <c r="G168" s="12" t="str">
        <f t="shared" si="6"/>
        <v/>
      </c>
      <c r="I168" s="12" t="str">
        <f t="shared" si="7"/>
        <v/>
      </c>
      <c r="J168" s="12" t="str">
        <f t="shared" si="8"/>
        <v/>
      </c>
      <c r="K168" s="12" t="str">
        <f>IFERROR((E168 - VLOOKUP(C168, 'Stock Entry'!B:E, 4, FALSE)) * D168, "")</f>
        <v/>
      </c>
    </row>
    <row r="169" spans="7:11" x14ac:dyDescent="0.25">
      <c r="G169" s="12" t="str">
        <f t="shared" si="6"/>
        <v/>
      </c>
      <c r="I169" s="12" t="str">
        <f t="shared" si="7"/>
        <v/>
      </c>
      <c r="J169" s="12" t="str">
        <f t="shared" si="8"/>
        <v/>
      </c>
      <c r="K169" s="12" t="str">
        <f>IFERROR((E169 - VLOOKUP(C169, 'Stock Entry'!B:E, 4, FALSE)) * D169, "")</f>
        <v/>
      </c>
    </row>
    <row r="170" spans="7:11" x14ac:dyDescent="0.25">
      <c r="G170" s="12" t="str">
        <f t="shared" si="6"/>
        <v/>
      </c>
      <c r="I170" s="12" t="str">
        <f t="shared" si="7"/>
        <v/>
      </c>
      <c r="J170" s="12" t="str">
        <f t="shared" si="8"/>
        <v/>
      </c>
      <c r="K170" s="12" t="str">
        <f>IFERROR((E170 - VLOOKUP(C170, 'Stock Entry'!B:E, 4, FALSE)) * D170, "")</f>
        <v/>
      </c>
    </row>
    <row r="171" spans="7:11" x14ac:dyDescent="0.25">
      <c r="G171" s="12" t="str">
        <f t="shared" si="6"/>
        <v/>
      </c>
      <c r="I171" s="12" t="str">
        <f t="shared" si="7"/>
        <v/>
      </c>
      <c r="J171" s="12" t="str">
        <f t="shared" si="8"/>
        <v/>
      </c>
      <c r="K171" s="12" t="str">
        <f>IFERROR((E171 - VLOOKUP(C171, 'Stock Entry'!B:E, 4, FALSE)) * D171, "")</f>
        <v/>
      </c>
    </row>
    <row r="172" spans="7:11" x14ac:dyDescent="0.25">
      <c r="G172" s="12" t="str">
        <f t="shared" si="6"/>
        <v/>
      </c>
      <c r="I172" s="12" t="str">
        <f t="shared" si="7"/>
        <v/>
      </c>
      <c r="J172" s="12" t="str">
        <f t="shared" si="8"/>
        <v/>
      </c>
      <c r="K172" s="12" t="str">
        <f>IFERROR((E172 - VLOOKUP(C172, 'Stock Entry'!B:E, 4, FALSE)) * D172, "")</f>
        <v/>
      </c>
    </row>
    <row r="173" spans="7:11" x14ac:dyDescent="0.25">
      <c r="G173" s="12" t="str">
        <f t="shared" si="6"/>
        <v/>
      </c>
      <c r="I173" s="12" t="str">
        <f t="shared" si="7"/>
        <v/>
      </c>
      <c r="J173" s="12" t="str">
        <f t="shared" si="8"/>
        <v/>
      </c>
      <c r="K173" s="12" t="str">
        <f>IFERROR((E173 - VLOOKUP(C173, 'Stock Entry'!B:E, 4, FALSE)) * D173, "")</f>
        <v/>
      </c>
    </row>
    <row r="174" spans="7:11" x14ac:dyDescent="0.25">
      <c r="G174" s="12" t="str">
        <f t="shared" si="6"/>
        <v/>
      </c>
      <c r="I174" s="12" t="str">
        <f t="shared" si="7"/>
        <v/>
      </c>
      <c r="J174" s="12" t="str">
        <f t="shared" si="8"/>
        <v/>
      </c>
      <c r="K174" s="12" t="str">
        <f>IFERROR((E174 - VLOOKUP(C174, 'Stock Entry'!B:E, 4, FALSE)) * D174, "")</f>
        <v/>
      </c>
    </row>
    <row r="175" spans="7:11" x14ac:dyDescent="0.25">
      <c r="G175" s="12" t="str">
        <f t="shared" si="6"/>
        <v/>
      </c>
      <c r="I175" s="12" t="str">
        <f t="shared" si="7"/>
        <v/>
      </c>
      <c r="J175" s="12" t="str">
        <f t="shared" si="8"/>
        <v/>
      </c>
      <c r="K175" s="12" t="str">
        <f>IFERROR((E175 - VLOOKUP(C175, 'Stock Entry'!B:E, 4, FALSE)) * D175, "")</f>
        <v/>
      </c>
    </row>
    <row r="176" spans="7:11" x14ac:dyDescent="0.25">
      <c r="G176" s="12" t="str">
        <f t="shared" si="6"/>
        <v/>
      </c>
      <c r="I176" s="12" t="str">
        <f t="shared" si="7"/>
        <v/>
      </c>
      <c r="J176" s="12" t="str">
        <f t="shared" si="8"/>
        <v/>
      </c>
      <c r="K176" s="12" t="str">
        <f>IFERROR((E176 - VLOOKUP(C176, 'Stock Entry'!B:E, 4, FALSE)) * D176, "")</f>
        <v/>
      </c>
    </row>
    <row r="177" spans="7:11" x14ac:dyDescent="0.25">
      <c r="G177" s="12" t="str">
        <f t="shared" si="6"/>
        <v/>
      </c>
      <c r="I177" s="12" t="str">
        <f t="shared" si="7"/>
        <v/>
      </c>
      <c r="J177" s="12" t="str">
        <f t="shared" si="8"/>
        <v/>
      </c>
      <c r="K177" s="12" t="str">
        <f>IFERROR((E177 - VLOOKUP(C177, 'Stock Entry'!B:E, 4, FALSE)) * D177, "")</f>
        <v/>
      </c>
    </row>
    <row r="178" spans="7:11" x14ac:dyDescent="0.25">
      <c r="G178" s="12" t="str">
        <f t="shared" si="6"/>
        <v/>
      </c>
      <c r="I178" s="12" t="str">
        <f t="shared" si="7"/>
        <v/>
      </c>
      <c r="J178" s="12" t="str">
        <f t="shared" si="8"/>
        <v/>
      </c>
      <c r="K178" s="12" t="str">
        <f>IFERROR((E178 - VLOOKUP(C178, 'Stock Entry'!B:E, 4, FALSE)) * D178, "")</f>
        <v/>
      </c>
    </row>
    <row r="179" spans="7:11" x14ac:dyDescent="0.25">
      <c r="G179" s="12" t="str">
        <f t="shared" si="6"/>
        <v/>
      </c>
      <c r="I179" s="12" t="str">
        <f t="shared" si="7"/>
        <v/>
      </c>
      <c r="J179" s="12" t="str">
        <f t="shared" si="8"/>
        <v/>
      </c>
      <c r="K179" s="12" t="str">
        <f>IFERROR((E179 - VLOOKUP(C179, 'Stock Entry'!B:E, 4, FALSE)) * D179, "")</f>
        <v/>
      </c>
    </row>
    <row r="180" spans="7:11" x14ac:dyDescent="0.25">
      <c r="G180" s="12" t="str">
        <f t="shared" si="6"/>
        <v/>
      </c>
      <c r="I180" s="12" t="str">
        <f t="shared" si="7"/>
        <v/>
      </c>
      <c r="J180" s="12" t="str">
        <f t="shared" si="8"/>
        <v/>
      </c>
      <c r="K180" s="12" t="str">
        <f>IFERROR((E180 - VLOOKUP(C180, 'Stock Entry'!B:E, 4, FALSE)) * D180, "")</f>
        <v/>
      </c>
    </row>
    <row r="181" spans="7:11" x14ac:dyDescent="0.25">
      <c r="G181" s="12" t="str">
        <f t="shared" si="6"/>
        <v/>
      </c>
      <c r="I181" s="12" t="str">
        <f t="shared" si="7"/>
        <v/>
      </c>
      <c r="J181" s="12" t="str">
        <f t="shared" si="8"/>
        <v/>
      </c>
      <c r="K181" s="12" t="str">
        <f>IFERROR((E181 - VLOOKUP(C181, 'Stock Entry'!B:E, 4, FALSE)) * D181, "")</f>
        <v/>
      </c>
    </row>
    <row r="182" spans="7:11" x14ac:dyDescent="0.25">
      <c r="G182" s="12" t="str">
        <f t="shared" si="6"/>
        <v/>
      </c>
      <c r="I182" s="12" t="str">
        <f t="shared" si="7"/>
        <v/>
      </c>
      <c r="J182" s="12" t="str">
        <f t="shared" si="8"/>
        <v/>
      </c>
      <c r="K182" s="12" t="str">
        <f>IFERROR((E182 - VLOOKUP(C182, 'Stock Entry'!B:E, 4, FALSE)) * D182, "")</f>
        <v/>
      </c>
    </row>
    <row r="183" spans="7:11" x14ac:dyDescent="0.25">
      <c r="G183" s="12" t="str">
        <f t="shared" si="6"/>
        <v/>
      </c>
      <c r="I183" s="12" t="str">
        <f t="shared" si="7"/>
        <v/>
      </c>
      <c r="J183" s="12" t="str">
        <f t="shared" si="8"/>
        <v/>
      </c>
      <c r="K183" s="12" t="str">
        <f>IFERROR((E183 - VLOOKUP(C183, 'Stock Entry'!B:E, 4, FALSE)) * D183, "")</f>
        <v/>
      </c>
    </row>
    <row r="184" spans="7:11" x14ac:dyDescent="0.25">
      <c r="G184" s="12" t="str">
        <f t="shared" si="6"/>
        <v/>
      </c>
      <c r="I184" s="12" t="str">
        <f t="shared" si="7"/>
        <v/>
      </c>
      <c r="J184" s="12" t="str">
        <f t="shared" si="8"/>
        <v/>
      </c>
      <c r="K184" s="12" t="str">
        <f>IFERROR((E184 - VLOOKUP(C184, 'Stock Entry'!B:E, 4, FALSE)) * D184, "")</f>
        <v/>
      </c>
    </row>
    <row r="185" spans="7:11" x14ac:dyDescent="0.25">
      <c r="G185" s="12" t="str">
        <f t="shared" si="6"/>
        <v/>
      </c>
      <c r="I185" s="12" t="str">
        <f t="shared" si="7"/>
        <v/>
      </c>
      <c r="J185" s="12" t="str">
        <f t="shared" si="8"/>
        <v/>
      </c>
      <c r="K185" s="12" t="str">
        <f>IFERROR((E185 - VLOOKUP(C185, 'Stock Entry'!B:E, 4, FALSE)) * D185, "")</f>
        <v/>
      </c>
    </row>
    <row r="186" spans="7:11" x14ac:dyDescent="0.25">
      <c r="G186" s="12" t="str">
        <f t="shared" si="6"/>
        <v/>
      </c>
      <c r="I186" s="12" t="str">
        <f t="shared" si="7"/>
        <v/>
      </c>
      <c r="J186" s="12" t="str">
        <f t="shared" si="8"/>
        <v/>
      </c>
      <c r="K186" s="12" t="str">
        <f>IFERROR((E186 - VLOOKUP(C186, 'Stock Entry'!B:E, 4, FALSE)) * D186, "")</f>
        <v/>
      </c>
    </row>
    <row r="187" spans="7:11" x14ac:dyDescent="0.25">
      <c r="G187" s="12" t="str">
        <f t="shared" si="6"/>
        <v/>
      </c>
      <c r="I187" s="12" t="str">
        <f t="shared" si="7"/>
        <v/>
      </c>
      <c r="J187" s="12" t="str">
        <f t="shared" si="8"/>
        <v/>
      </c>
      <c r="K187" s="12" t="str">
        <f>IFERROR((E187 - VLOOKUP(C187, 'Stock Entry'!B:E, 4, FALSE)) * D187, "")</f>
        <v/>
      </c>
    </row>
    <row r="188" spans="7:11" x14ac:dyDescent="0.25">
      <c r="G188" s="12" t="str">
        <f t="shared" si="6"/>
        <v/>
      </c>
      <c r="I188" s="12" t="str">
        <f t="shared" si="7"/>
        <v/>
      </c>
      <c r="J188" s="12" t="str">
        <f t="shared" si="8"/>
        <v/>
      </c>
      <c r="K188" s="12" t="str">
        <f>IFERROR((E188 - VLOOKUP(C188, 'Stock Entry'!B:E, 4, FALSE)) * D188, "")</f>
        <v/>
      </c>
    </row>
    <row r="189" spans="7:11" x14ac:dyDescent="0.25">
      <c r="G189" s="12" t="str">
        <f t="shared" si="6"/>
        <v/>
      </c>
      <c r="I189" s="12" t="str">
        <f t="shared" si="7"/>
        <v/>
      </c>
      <c r="J189" s="12" t="str">
        <f t="shared" si="8"/>
        <v/>
      </c>
      <c r="K189" s="12" t="str">
        <f>IFERROR((E189 - VLOOKUP(C189, 'Stock Entry'!B:E, 4, FALSE)) * D189, "")</f>
        <v/>
      </c>
    </row>
    <row r="190" spans="7:11" x14ac:dyDescent="0.25">
      <c r="G190" s="12" t="str">
        <f t="shared" si="6"/>
        <v/>
      </c>
      <c r="I190" s="12" t="str">
        <f t="shared" si="7"/>
        <v/>
      </c>
      <c r="J190" s="12" t="str">
        <f t="shared" si="8"/>
        <v/>
      </c>
      <c r="K190" s="12" t="str">
        <f>IFERROR((E190 - VLOOKUP(C190, 'Stock Entry'!B:E, 4, FALSE)) * D190, "")</f>
        <v/>
      </c>
    </row>
    <row r="191" spans="7:11" x14ac:dyDescent="0.25">
      <c r="G191" s="12" t="str">
        <f t="shared" si="6"/>
        <v/>
      </c>
      <c r="I191" s="12" t="str">
        <f t="shared" si="7"/>
        <v/>
      </c>
      <c r="J191" s="12" t="str">
        <f t="shared" si="8"/>
        <v/>
      </c>
      <c r="K191" s="12" t="str">
        <f>IFERROR((E191 - VLOOKUP(C191, 'Stock Entry'!B:E, 4, FALSE)) * D191, "")</f>
        <v/>
      </c>
    </row>
    <row r="192" spans="7:11" x14ac:dyDescent="0.25">
      <c r="G192" s="12" t="str">
        <f t="shared" si="6"/>
        <v/>
      </c>
      <c r="I192" s="12" t="str">
        <f t="shared" si="7"/>
        <v/>
      </c>
      <c r="J192" s="12" t="str">
        <f t="shared" si="8"/>
        <v/>
      </c>
      <c r="K192" s="12" t="str">
        <f>IFERROR((E192 - VLOOKUP(C192, 'Stock Entry'!B:E, 4, FALSE)) * D192, "")</f>
        <v/>
      </c>
    </row>
    <row r="193" spans="7:11" x14ac:dyDescent="0.25">
      <c r="G193" s="12" t="str">
        <f t="shared" si="6"/>
        <v/>
      </c>
      <c r="I193" s="12" t="str">
        <f t="shared" si="7"/>
        <v/>
      </c>
      <c r="J193" s="12" t="str">
        <f t="shared" si="8"/>
        <v/>
      </c>
      <c r="K193" s="12" t="str">
        <f>IFERROR((E193 - VLOOKUP(C193, 'Stock Entry'!B:E, 4, FALSE)) * D193, "")</f>
        <v/>
      </c>
    </row>
    <row r="194" spans="7:11" x14ac:dyDescent="0.25">
      <c r="G194" s="12" t="str">
        <f t="shared" si="6"/>
        <v/>
      </c>
      <c r="I194" s="12" t="str">
        <f t="shared" si="7"/>
        <v/>
      </c>
      <c r="J194" s="12" t="str">
        <f t="shared" si="8"/>
        <v/>
      </c>
      <c r="K194" s="12" t="str">
        <f>IFERROR((E194 - VLOOKUP(C194, 'Stock Entry'!B:E, 4, FALSE)) * D194, "")</f>
        <v/>
      </c>
    </row>
    <row r="195" spans="7:11" x14ac:dyDescent="0.25">
      <c r="G195" s="12" t="str">
        <f t="shared" ref="G195:G258" si="9">IF(F195="Full Cash", D195*E195, "")</f>
        <v/>
      </c>
      <c r="I195" s="12" t="str">
        <f t="shared" ref="I195:I258" si="10">IF(F195="Full Credit",D195*E195,IF(F195="Partly Payment",(D195*E195)-H195,""))</f>
        <v/>
      </c>
      <c r="J195" s="12" t="str">
        <f t="shared" ref="J195:J258" si="11">IF(F195="Full Cash", G195, IF(F195="Full Credit", I195, IF(F195="Partly Payment", H195+I195, "")))</f>
        <v/>
      </c>
      <c r="K195" s="12" t="str">
        <f>IFERROR((E195 - VLOOKUP(C195, 'Stock Entry'!B:E, 4, FALSE)) * D195, "")</f>
        <v/>
      </c>
    </row>
    <row r="196" spans="7:11" x14ac:dyDescent="0.25">
      <c r="G196" s="12" t="str">
        <f t="shared" si="9"/>
        <v/>
      </c>
      <c r="I196" s="12" t="str">
        <f t="shared" si="10"/>
        <v/>
      </c>
      <c r="J196" s="12" t="str">
        <f t="shared" si="11"/>
        <v/>
      </c>
      <c r="K196" s="12" t="str">
        <f>IFERROR((E196 - VLOOKUP(C196, 'Stock Entry'!B:E, 4, FALSE)) * D196, "")</f>
        <v/>
      </c>
    </row>
    <row r="197" spans="7:11" x14ac:dyDescent="0.25">
      <c r="G197" s="12" t="str">
        <f t="shared" si="9"/>
        <v/>
      </c>
      <c r="I197" s="12" t="str">
        <f t="shared" si="10"/>
        <v/>
      </c>
      <c r="J197" s="12" t="str">
        <f t="shared" si="11"/>
        <v/>
      </c>
      <c r="K197" s="12" t="str">
        <f>IFERROR((E197 - VLOOKUP(C197, 'Stock Entry'!B:E, 4, FALSE)) * D197, "")</f>
        <v/>
      </c>
    </row>
    <row r="198" spans="7:11" x14ac:dyDescent="0.25">
      <c r="G198" s="12" t="str">
        <f t="shared" si="9"/>
        <v/>
      </c>
      <c r="I198" s="12" t="str">
        <f t="shared" si="10"/>
        <v/>
      </c>
      <c r="J198" s="12" t="str">
        <f t="shared" si="11"/>
        <v/>
      </c>
      <c r="K198" s="12" t="str">
        <f>IFERROR((E198 - VLOOKUP(C198, 'Stock Entry'!B:E, 4, FALSE)) * D198, "")</f>
        <v/>
      </c>
    </row>
    <row r="199" spans="7:11" x14ac:dyDescent="0.25">
      <c r="G199" s="12" t="str">
        <f t="shared" si="9"/>
        <v/>
      </c>
      <c r="I199" s="12" t="str">
        <f t="shared" si="10"/>
        <v/>
      </c>
      <c r="J199" s="12" t="str">
        <f t="shared" si="11"/>
        <v/>
      </c>
      <c r="K199" s="12" t="str">
        <f>IFERROR((E199 - VLOOKUP(C199, 'Stock Entry'!B:E, 4, FALSE)) * D199, "")</f>
        <v/>
      </c>
    </row>
    <row r="200" spans="7:11" x14ac:dyDescent="0.25">
      <c r="G200" s="12" t="str">
        <f t="shared" si="9"/>
        <v/>
      </c>
      <c r="I200" s="12" t="str">
        <f t="shared" si="10"/>
        <v/>
      </c>
      <c r="J200" s="12" t="str">
        <f t="shared" si="11"/>
        <v/>
      </c>
      <c r="K200" s="12" t="str">
        <f>IFERROR((E200 - VLOOKUP(C200, 'Stock Entry'!B:E, 4, FALSE)) * D200, "")</f>
        <v/>
      </c>
    </row>
    <row r="201" spans="7:11" x14ac:dyDescent="0.25">
      <c r="G201" s="12" t="str">
        <f t="shared" si="9"/>
        <v/>
      </c>
      <c r="I201" s="12" t="str">
        <f t="shared" si="10"/>
        <v/>
      </c>
      <c r="J201" s="12" t="str">
        <f t="shared" si="11"/>
        <v/>
      </c>
      <c r="K201" s="12" t="str">
        <f>IFERROR((E201 - VLOOKUP(C201, 'Stock Entry'!B:E, 4, FALSE)) * D201, "")</f>
        <v/>
      </c>
    </row>
    <row r="202" spans="7:11" x14ac:dyDescent="0.25">
      <c r="G202" s="12" t="str">
        <f t="shared" si="9"/>
        <v/>
      </c>
      <c r="I202" s="12" t="str">
        <f t="shared" si="10"/>
        <v/>
      </c>
      <c r="J202" s="12" t="str">
        <f t="shared" si="11"/>
        <v/>
      </c>
      <c r="K202" s="12" t="str">
        <f>IFERROR((E202 - VLOOKUP(C202, 'Stock Entry'!B:E, 4, FALSE)) * D202, "")</f>
        <v/>
      </c>
    </row>
    <row r="203" spans="7:11" x14ac:dyDescent="0.25">
      <c r="G203" s="12" t="str">
        <f t="shared" si="9"/>
        <v/>
      </c>
      <c r="I203" s="12" t="str">
        <f t="shared" si="10"/>
        <v/>
      </c>
      <c r="J203" s="12" t="str">
        <f t="shared" si="11"/>
        <v/>
      </c>
      <c r="K203" s="12" t="str">
        <f>IFERROR((E203 - VLOOKUP(C203, 'Stock Entry'!B:E, 4, FALSE)) * D203, "")</f>
        <v/>
      </c>
    </row>
    <row r="204" spans="7:11" x14ac:dyDescent="0.25">
      <c r="G204" s="12" t="str">
        <f t="shared" si="9"/>
        <v/>
      </c>
      <c r="I204" s="12" t="str">
        <f t="shared" si="10"/>
        <v/>
      </c>
      <c r="J204" s="12" t="str">
        <f t="shared" si="11"/>
        <v/>
      </c>
      <c r="K204" s="12" t="str">
        <f>IFERROR((E204 - VLOOKUP(C204, 'Stock Entry'!B:E, 4, FALSE)) * D204, "")</f>
        <v/>
      </c>
    </row>
    <row r="205" spans="7:11" x14ac:dyDescent="0.25">
      <c r="G205" s="12" t="str">
        <f t="shared" si="9"/>
        <v/>
      </c>
      <c r="I205" s="12" t="str">
        <f t="shared" si="10"/>
        <v/>
      </c>
      <c r="J205" s="12" t="str">
        <f t="shared" si="11"/>
        <v/>
      </c>
      <c r="K205" s="12" t="str">
        <f>IFERROR((E205 - VLOOKUP(C205, 'Stock Entry'!B:E, 4, FALSE)) * D205, "")</f>
        <v/>
      </c>
    </row>
    <row r="206" spans="7:11" x14ac:dyDescent="0.25">
      <c r="G206" s="12" t="str">
        <f t="shared" si="9"/>
        <v/>
      </c>
      <c r="I206" s="12" t="str">
        <f t="shared" si="10"/>
        <v/>
      </c>
      <c r="J206" s="12" t="str">
        <f t="shared" si="11"/>
        <v/>
      </c>
      <c r="K206" s="12" t="str">
        <f>IFERROR((E206 - VLOOKUP(C206, 'Stock Entry'!B:E, 4, FALSE)) * D206, "")</f>
        <v/>
      </c>
    </row>
    <row r="207" spans="7:11" x14ac:dyDescent="0.25">
      <c r="G207" s="12" t="str">
        <f t="shared" si="9"/>
        <v/>
      </c>
      <c r="I207" s="12" t="str">
        <f t="shared" si="10"/>
        <v/>
      </c>
      <c r="J207" s="12" t="str">
        <f t="shared" si="11"/>
        <v/>
      </c>
      <c r="K207" s="12" t="str">
        <f>IFERROR((E207 - VLOOKUP(C207, 'Stock Entry'!B:E, 4, FALSE)) * D207, "")</f>
        <v/>
      </c>
    </row>
    <row r="208" spans="7:11" x14ac:dyDescent="0.25">
      <c r="G208" s="12" t="str">
        <f t="shared" si="9"/>
        <v/>
      </c>
      <c r="I208" s="12" t="str">
        <f t="shared" si="10"/>
        <v/>
      </c>
      <c r="J208" s="12" t="str">
        <f t="shared" si="11"/>
        <v/>
      </c>
      <c r="K208" s="12" t="str">
        <f>IFERROR((E208 - VLOOKUP(C208, 'Stock Entry'!B:E, 4, FALSE)) * D208, "")</f>
        <v/>
      </c>
    </row>
    <row r="209" spans="7:11" x14ac:dyDescent="0.25">
      <c r="G209" s="12" t="str">
        <f t="shared" si="9"/>
        <v/>
      </c>
      <c r="I209" s="12" t="str">
        <f t="shared" si="10"/>
        <v/>
      </c>
      <c r="J209" s="12" t="str">
        <f t="shared" si="11"/>
        <v/>
      </c>
      <c r="K209" s="12" t="str">
        <f>IFERROR((E209 - VLOOKUP(C209, 'Stock Entry'!B:E, 4, FALSE)) * D209, "")</f>
        <v/>
      </c>
    </row>
    <row r="210" spans="7:11" x14ac:dyDescent="0.25">
      <c r="G210" s="12" t="str">
        <f t="shared" si="9"/>
        <v/>
      </c>
      <c r="I210" s="12" t="str">
        <f t="shared" si="10"/>
        <v/>
      </c>
      <c r="J210" s="12" t="str">
        <f t="shared" si="11"/>
        <v/>
      </c>
      <c r="K210" s="12" t="str">
        <f>IFERROR((E210 - VLOOKUP(C210, 'Stock Entry'!B:E, 4, FALSE)) * D210, "")</f>
        <v/>
      </c>
    </row>
    <row r="211" spans="7:11" x14ac:dyDescent="0.25">
      <c r="G211" s="12" t="str">
        <f t="shared" si="9"/>
        <v/>
      </c>
      <c r="I211" s="12" t="str">
        <f t="shared" si="10"/>
        <v/>
      </c>
      <c r="J211" s="12" t="str">
        <f t="shared" si="11"/>
        <v/>
      </c>
      <c r="K211" s="12" t="str">
        <f>IFERROR((E211 - VLOOKUP(C211, 'Stock Entry'!B:E, 4, FALSE)) * D211, "")</f>
        <v/>
      </c>
    </row>
    <row r="212" spans="7:11" x14ac:dyDescent="0.25">
      <c r="G212" s="12" t="str">
        <f t="shared" si="9"/>
        <v/>
      </c>
      <c r="I212" s="12" t="str">
        <f t="shared" si="10"/>
        <v/>
      </c>
      <c r="J212" s="12" t="str">
        <f t="shared" si="11"/>
        <v/>
      </c>
      <c r="K212" s="12" t="str">
        <f>IFERROR((E212 - VLOOKUP(C212, 'Stock Entry'!B:E, 4, FALSE)) * D212, "")</f>
        <v/>
      </c>
    </row>
    <row r="213" spans="7:11" x14ac:dyDescent="0.25">
      <c r="G213" s="12" t="str">
        <f t="shared" si="9"/>
        <v/>
      </c>
      <c r="I213" s="12" t="str">
        <f t="shared" si="10"/>
        <v/>
      </c>
      <c r="J213" s="12" t="str">
        <f t="shared" si="11"/>
        <v/>
      </c>
      <c r="K213" s="12" t="str">
        <f>IFERROR((E213 - VLOOKUP(C213, 'Stock Entry'!B:E, 4, FALSE)) * D213, "")</f>
        <v/>
      </c>
    </row>
    <row r="214" spans="7:11" x14ac:dyDescent="0.25">
      <c r="G214" s="12" t="str">
        <f t="shared" si="9"/>
        <v/>
      </c>
      <c r="I214" s="12" t="str">
        <f t="shared" si="10"/>
        <v/>
      </c>
      <c r="J214" s="12" t="str">
        <f t="shared" si="11"/>
        <v/>
      </c>
      <c r="K214" s="12" t="str">
        <f>IFERROR((E214 - VLOOKUP(C214, 'Stock Entry'!B:E, 4, FALSE)) * D214, "")</f>
        <v/>
      </c>
    </row>
    <row r="215" spans="7:11" x14ac:dyDescent="0.25">
      <c r="G215" s="12" t="str">
        <f t="shared" si="9"/>
        <v/>
      </c>
      <c r="I215" s="12" t="str">
        <f t="shared" si="10"/>
        <v/>
      </c>
      <c r="J215" s="12" t="str">
        <f t="shared" si="11"/>
        <v/>
      </c>
      <c r="K215" s="12" t="str">
        <f>IFERROR((E215 - VLOOKUP(C215, 'Stock Entry'!B:E, 4, FALSE)) * D215, "")</f>
        <v/>
      </c>
    </row>
    <row r="216" spans="7:11" x14ac:dyDescent="0.25">
      <c r="G216" s="12" t="str">
        <f t="shared" si="9"/>
        <v/>
      </c>
      <c r="I216" s="12" t="str">
        <f t="shared" si="10"/>
        <v/>
      </c>
      <c r="J216" s="12" t="str">
        <f t="shared" si="11"/>
        <v/>
      </c>
      <c r="K216" s="12" t="str">
        <f>IFERROR((E216 - VLOOKUP(C216, 'Stock Entry'!B:E, 4, FALSE)) * D216, "")</f>
        <v/>
      </c>
    </row>
    <row r="217" spans="7:11" x14ac:dyDescent="0.25">
      <c r="G217" s="12" t="str">
        <f t="shared" si="9"/>
        <v/>
      </c>
      <c r="I217" s="12" t="str">
        <f t="shared" si="10"/>
        <v/>
      </c>
      <c r="J217" s="12" t="str">
        <f t="shared" si="11"/>
        <v/>
      </c>
      <c r="K217" s="12" t="str">
        <f>IFERROR((E217 - VLOOKUP(C217, 'Stock Entry'!B:E, 4, FALSE)) * D217, "")</f>
        <v/>
      </c>
    </row>
    <row r="218" spans="7:11" x14ac:dyDescent="0.25">
      <c r="G218" s="12" t="str">
        <f t="shared" si="9"/>
        <v/>
      </c>
      <c r="I218" s="12" t="str">
        <f t="shared" si="10"/>
        <v/>
      </c>
      <c r="J218" s="12" t="str">
        <f t="shared" si="11"/>
        <v/>
      </c>
      <c r="K218" s="12" t="str">
        <f>IFERROR((E218 - VLOOKUP(C218, 'Stock Entry'!B:E, 4, FALSE)) * D218, "")</f>
        <v/>
      </c>
    </row>
    <row r="219" spans="7:11" x14ac:dyDescent="0.25">
      <c r="G219" s="12" t="str">
        <f t="shared" si="9"/>
        <v/>
      </c>
      <c r="I219" s="12" t="str">
        <f t="shared" si="10"/>
        <v/>
      </c>
      <c r="J219" s="12" t="str">
        <f t="shared" si="11"/>
        <v/>
      </c>
      <c r="K219" s="12" t="str">
        <f>IFERROR((E219 - VLOOKUP(C219, 'Stock Entry'!B:E, 4, FALSE)) * D219, "")</f>
        <v/>
      </c>
    </row>
    <row r="220" spans="7:11" x14ac:dyDescent="0.25">
      <c r="G220" s="12" t="str">
        <f t="shared" si="9"/>
        <v/>
      </c>
      <c r="I220" s="12" t="str">
        <f t="shared" si="10"/>
        <v/>
      </c>
      <c r="J220" s="12" t="str">
        <f t="shared" si="11"/>
        <v/>
      </c>
      <c r="K220" s="12" t="str">
        <f>IFERROR((E220 - VLOOKUP(C220, 'Stock Entry'!B:E, 4, FALSE)) * D220, "")</f>
        <v/>
      </c>
    </row>
    <row r="221" spans="7:11" x14ac:dyDescent="0.25">
      <c r="G221" s="12" t="str">
        <f t="shared" si="9"/>
        <v/>
      </c>
      <c r="I221" s="12" t="str">
        <f t="shared" si="10"/>
        <v/>
      </c>
      <c r="J221" s="12" t="str">
        <f t="shared" si="11"/>
        <v/>
      </c>
      <c r="K221" s="12" t="str">
        <f>IFERROR((E221 - VLOOKUP(C221, 'Stock Entry'!B:E, 4, FALSE)) * D221, "")</f>
        <v/>
      </c>
    </row>
    <row r="222" spans="7:11" x14ac:dyDescent="0.25">
      <c r="G222" s="12" t="str">
        <f t="shared" si="9"/>
        <v/>
      </c>
      <c r="I222" s="12" t="str">
        <f t="shared" si="10"/>
        <v/>
      </c>
      <c r="J222" s="12" t="str">
        <f t="shared" si="11"/>
        <v/>
      </c>
      <c r="K222" s="12" t="str">
        <f>IFERROR((E222 - VLOOKUP(C222, 'Stock Entry'!B:E, 4, FALSE)) * D222, "")</f>
        <v/>
      </c>
    </row>
    <row r="223" spans="7:11" x14ac:dyDescent="0.25">
      <c r="G223" s="12" t="str">
        <f t="shared" si="9"/>
        <v/>
      </c>
      <c r="I223" s="12" t="str">
        <f t="shared" si="10"/>
        <v/>
      </c>
      <c r="J223" s="12" t="str">
        <f t="shared" si="11"/>
        <v/>
      </c>
      <c r="K223" s="12" t="str">
        <f>IFERROR((E223 - VLOOKUP(C223, 'Stock Entry'!B:E, 4, FALSE)) * D223, "")</f>
        <v/>
      </c>
    </row>
    <row r="224" spans="7:11" x14ac:dyDescent="0.25">
      <c r="G224" s="12" t="str">
        <f t="shared" si="9"/>
        <v/>
      </c>
      <c r="I224" s="12" t="str">
        <f t="shared" si="10"/>
        <v/>
      </c>
      <c r="J224" s="12" t="str">
        <f t="shared" si="11"/>
        <v/>
      </c>
      <c r="K224" s="12" t="str">
        <f>IFERROR((E224 - VLOOKUP(C224, 'Stock Entry'!B:E, 4, FALSE)) * D224, "")</f>
        <v/>
      </c>
    </row>
    <row r="225" spans="7:11" x14ac:dyDescent="0.25">
      <c r="G225" s="12" t="str">
        <f t="shared" si="9"/>
        <v/>
      </c>
      <c r="I225" s="12" t="str">
        <f t="shared" si="10"/>
        <v/>
      </c>
      <c r="J225" s="12" t="str">
        <f t="shared" si="11"/>
        <v/>
      </c>
      <c r="K225" s="12" t="str">
        <f>IFERROR((E225 - VLOOKUP(C225, 'Stock Entry'!B:E, 4, FALSE)) * D225, "")</f>
        <v/>
      </c>
    </row>
    <row r="226" spans="7:11" x14ac:dyDescent="0.25">
      <c r="G226" s="12" t="str">
        <f t="shared" si="9"/>
        <v/>
      </c>
      <c r="I226" s="12" t="str">
        <f t="shared" si="10"/>
        <v/>
      </c>
      <c r="J226" s="12" t="str">
        <f t="shared" si="11"/>
        <v/>
      </c>
      <c r="K226" s="12" t="str">
        <f>IFERROR((E226 - VLOOKUP(C226, 'Stock Entry'!B:E, 4, FALSE)) * D226, "")</f>
        <v/>
      </c>
    </row>
    <row r="227" spans="7:11" x14ac:dyDescent="0.25">
      <c r="G227" s="12" t="str">
        <f t="shared" si="9"/>
        <v/>
      </c>
      <c r="I227" s="12" t="str">
        <f t="shared" si="10"/>
        <v/>
      </c>
      <c r="J227" s="12" t="str">
        <f t="shared" si="11"/>
        <v/>
      </c>
      <c r="K227" s="12" t="str">
        <f>IFERROR((E227 - VLOOKUP(C227, 'Stock Entry'!B:E, 4, FALSE)) * D227, "")</f>
        <v/>
      </c>
    </row>
    <row r="228" spans="7:11" x14ac:dyDescent="0.25">
      <c r="G228" s="12" t="str">
        <f t="shared" si="9"/>
        <v/>
      </c>
      <c r="I228" s="12" t="str">
        <f t="shared" si="10"/>
        <v/>
      </c>
      <c r="J228" s="12" t="str">
        <f t="shared" si="11"/>
        <v/>
      </c>
      <c r="K228" s="12" t="str">
        <f>IFERROR((E228 - VLOOKUP(C228, 'Stock Entry'!B:E, 4, FALSE)) * D228, "")</f>
        <v/>
      </c>
    </row>
    <row r="229" spans="7:11" x14ac:dyDescent="0.25">
      <c r="G229" s="12" t="str">
        <f t="shared" si="9"/>
        <v/>
      </c>
      <c r="I229" s="12" t="str">
        <f t="shared" si="10"/>
        <v/>
      </c>
      <c r="J229" s="12" t="str">
        <f t="shared" si="11"/>
        <v/>
      </c>
      <c r="K229" s="12" t="str">
        <f>IFERROR((E229 - VLOOKUP(C229, 'Stock Entry'!B:E, 4, FALSE)) * D229, "")</f>
        <v/>
      </c>
    </row>
    <row r="230" spans="7:11" x14ac:dyDescent="0.25">
      <c r="G230" s="12" t="str">
        <f t="shared" si="9"/>
        <v/>
      </c>
      <c r="I230" s="12" t="str">
        <f t="shared" si="10"/>
        <v/>
      </c>
      <c r="J230" s="12" t="str">
        <f t="shared" si="11"/>
        <v/>
      </c>
      <c r="K230" s="12" t="str">
        <f>IFERROR((E230 - VLOOKUP(C230, 'Stock Entry'!B:E, 4, FALSE)) * D230, "")</f>
        <v/>
      </c>
    </row>
    <row r="231" spans="7:11" x14ac:dyDescent="0.25">
      <c r="G231" s="12" t="str">
        <f t="shared" si="9"/>
        <v/>
      </c>
      <c r="I231" s="12" t="str">
        <f t="shared" si="10"/>
        <v/>
      </c>
      <c r="J231" s="12" t="str">
        <f t="shared" si="11"/>
        <v/>
      </c>
      <c r="K231" s="12" t="str">
        <f>IFERROR((E231 - VLOOKUP(C231, 'Stock Entry'!B:E, 4, FALSE)) * D231, "")</f>
        <v/>
      </c>
    </row>
    <row r="232" spans="7:11" x14ac:dyDescent="0.25">
      <c r="G232" s="12" t="str">
        <f t="shared" si="9"/>
        <v/>
      </c>
      <c r="I232" s="12" t="str">
        <f t="shared" si="10"/>
        <v/>
      </c>
      <c r="J232" s="12" t="str">
        <f t="shared" si="11"/>
        <v/>
      </c>
      <c r="K232" s="12" t="str">
        <f>IFERROR((E232 - VLOOKUP(C232, 'Stock Entry'!B:E, 4, FALSE)) * D232, "")</f>
        <v/>
      </c>
    </row>
    <row r="233" spans="7:11" x14ac:dyDescent="0.25">
      <c r="G233" s="12" t="str">
        <f t="shared" si="9"/>
        <v/>
      </c>
      <c r="I233" s="12" t="str">
        <f t="shared" si="10"/>
        <v/>
      </c>
      <c r="J233" s="12" t="str">
        <f t="shared" si="11"/>
        <v/>
      </c>
      <c r="K233" s="12" t="str">
        <f>IFERROR((E233 - VLOOKUP(C233, 'Stock Entry'!B:E, 4, FALSE)) * D233, "")</f>
        <v/>
      </c>
    </row>
    <row r="234" spans="7:11" x14ac:dyDescent="0.25">
      <c r="G234" s="12" t="str">
        <f t="shared" si="9"/>
        <v/>
      </c>
      <c r="I234" s="12" t="str">
        <f t="shared" si="10"/>
        <v/>
      </c>
      <c r="J234" s="12" t="str">
        <f t="shared" si="11"/>
        <v/>
      </c>
      <c r="K234" s="12" t="str">
        <f>IFERROR((E234 - VLOOKUP(C234, 'Stock Entry'!B:E, 4, FALSE)) * D234, "")</f>
        <v/>
      </c>
    </row>
    <row r="235" spans="7:11" x14ac:dyDescent="0.25">
      <c r="G235" s="12" t="str">
        <f t="shared" si="9"/>
        <v/>
      </c>
      <c r="I235" s="12" t="str">
        <f t="shared" si="10"/>
        <v/>
      </c>
      <c r="J235" s="12" t="str">
        <f t="shared" si="11"/>
        <v/>
      </c>
      <c r="K235" s="12" t="str">
        <f>IFERROR((E235 - VLOOKUP(C235, 'Stock Entry'!B:E, 4, FALSE)) * D235, "")</f>
        <v/>
      </c>
    </row>
    <row r="236" spans="7:11" x14ac:dyDescent="0.25">
      <c r="G236" s="12" t="str">
        <f t="shared" si="9"/>
        <v/>
      </c>
      <c r="I236" s="12" t="str">
        <f t="shared" si="10"/>
        <v/>
      </c>
      <c r="J236" s="12" t="str">
        <f t="shared" si="11"/>
        <v/>
      </c>
      <c r="K236" s="12" t="str">
        <f>IFERROR((E236 - VLOOKUP(C236, 'Stock Entry'!B:E, 4, FALSE)) * D236, "")</f>
        <v/>
      </c>
    </row>
    <row r="237" spans="7:11" x14ac:dyDescent="0.25">
      <c r="G237" s="12" t="str">
        <f t="shared" si="9"/>
        <v/>
      </c>
      <c r="I237" s="12" t="str">
        <f t="shared" si="10"/>
        <v/>
      </c>
      <c r="J237" s="12" t="str">
        <f t="shared" si="11"/>
        <v/>
      </c>
      <c r="K237" s="12" t="str">
        <f>IFERROR((E237 - VLOOKUP(C237, 'Stock Entry'!B:E, 4, FALSE)) * D237, "")</f>
        <v/>
      </c>
    </row>
    <row r="238" spans="7:11" x14ac:dyDescent="0.25">
      <c r="G238" s="12" t="str">
        <f t="shared" si="9"/>
        <v/>
      </c>
      <c r="I238" s="12" t="str">
        <f t="shared" si="10"/>
        <v/>
      </c>
      <c r="J238" s="12" t="str">
        <f t="shared" si="11"/>
        <v/>
      </c>
      <c r="K238" s="12" t="str">
        <f>IFERROR((E238 - VLOOKUP(C238, 'Stock Entry'!B:E, 4, FALSE)) * D238, "")</f>
        <v/>
      </c>
    </row>
    <row r="239" spans="7:11" x14ac:dyDescent="0.25">
      <c r="G239" s="12" t="str">
        <f t="shared" si="9"/>
        <v/>
      </c>
      <c r="I239" s="12" t="str">
        <f t="shared" si="10"/>
        <v/>
      </c>
      <c r="J239" s="12" t="str">
        <f t="shared" si="11"/>
        <v/>
      </c>
      <c r="K239" s="12" t="str">
        <f>IFERROR((E239 - VLOOKUP(C239, 'Stock Entry'!B:E, 4, FALSE)) * D239, "")</f>
        <v/>
      </c>
    </row>
    <row r="240" spans="7:11" x14ac:dyDescent="0.25">
      <c r="G240" s="12" t="str">
        <f t="shared" si="9"/>
        <v/>
      </c>
      <c r="I240" s="12" t="str">
        <f t="shared" si="10"/>
        <v/>
      </c>
      <c r="J240" s="12" t="str">
        <f t="shared" si="11"/>
        <v/>
      </c>
      <c r="K240" s="12" t="str">
        <f>IFERROR((E240 - VLOOKUP(C240, 'Stock Entry'!B:E, 4, FALSE)) * D240, "")</f>
        <v/>
      </c>
    </row>
    <row r="241" spans="7:11" x14ac:dyDescent="0.25">
      <c r="G241" s="12" t="str">
        <f t="shared" si="9"/>
        <v/>
      </c>
      <c r="I241" s="12" t="str">
        <f t="shared" si="10"/>
        <v/>
      </c>
      <c r="J241" s="12" t="str">
        <f t="shared" si="11"/>
        <v/>
      </c>
      <c r="K241" s="12" t="str">
        <f>IFERROR((E241 - VLOOKUP(C241, 'Stock Entry'!B:E, 4, FALSE)) * D241, "")</f>
        <v/>
      </c>
    </row>
    <row r="242" spans="7:11" x14ac:dyDescent="0.25">
      <c r="G242" s="12" t="str">
        <f t="shared" si="9"/>
        <v/>
      </c>
      <c r="I242" s="12" t="str">
        <f t="shared" si="10"/>
        <v/>
      </c>
      <c r="J242" s="12" t="str">
        <f t="shared" si="11"/>
        <v/>
      </c>
      <c r="K242" s="12" t="str">
        <f>IFERROR((E242 - VLOOKUP(C242, 'Stock Entry'!B:E, 4, FALSE)) * D242, "")</f>
        <v/>
      </c>
    </row>
    <row r="243" spans="7:11" x14ac:dyDescent="0.25">
      <c r="G243" s="12" t="str">
        <f t="shared" si="9"/>
        <v/>
      </c>
      <c r="I243" s="12" t="str">
        <f t="shared" si="10"/>
        <v/>
      </c>
      <c r="J243" s="12" t="str">
        <f t="shared" si="11"/>
        <v/>
      </c>
      <c r="K243" s="12" t="str">
        <f>IFERROR((E243 - VLOOKUP(C243, 'Stock Entry'!B:E, 4, FALSE)) * D243, "")</f>
        <v/>
      </c>
    </row>
    <row r="244" spans="7:11" x14ac:dyDescent="0.25">
      <c r="G244" s="12" t="str">
        <f t="shared" si="9"/>
        <v/>
      </c>
      <c r="I244" s="12" t="str">
        <f t="shared" si="10"/>
        <v/>
      </c>
      <c r="J244" s="12" t="str">
        <f t="shared" si="11"/>
        <v/>
      </c>
      <c r="K244" s="12" t="str">
        <f>IFERROR((E244 - VLOOKUP(C244, 'Stock Entry'!B:E, 4, FALSE)) * D244, "")</f>
        <v/>
      </c>
    </row>
    <row r="245" spans="7:11" x14ac:dyDescent="0.25">
      <c r="G245" s="12" t="str">
        <f t="shared" si="9"/>
        <v/>
      </c>
      <c r="I245" s="12" t="str">
        <f t="shared" si="10"/>
        <v/>
      </c>
      <c r="J245" s="12" t="str">
        <f t="shared" si="11"/>
        <v/>
      </c>
      <c r="K245" s="12" t="str">
        <f>IFERROR((E245 - VLOOKUP(C245, 'Stock Entry'!B:E, 4, FALSE)) * D245, "")</f>
        <v/>
      </c>
    </row>
    <row r="246" spans="7:11" x14ac:dyDescent="0.25">
      <c r="G246" s="12" t="str">
        <f t="shared" si="9"/>
        <v/>
      </c>
      <c r="I246" s="12" t="str">
        <f t="shared" si="10"/>
        <v/>
      </c>
      <c r="J246" s="12" t="str">
        <f t="shared" si="11"/>
        <v/>
      </c>
      <c r="K246" s="12" t="str">
        <f>IFERROR((E246 - VLOOKUP(C246, 'Stock Entry'!B:E, 4, FALSE)) * D246, "")</f>
        <v/>
      </c>
    </row>
    <row r="247" spans="7:11" x14ac:dyDescent="0.25">
      <c r="G247" s="12" t="str">
        <f t="shared" si="9"/>
        <v/>
      </c>
      <c r="I247" s="12" t="str">
        <f t="shared" si="10"/>
        <v/>
      </c>
      <c r="J247" s="12" t="str">
        <f t="shared" si="11"/>
        <v/>
      </c>
      <c r="K247" s="12" t="str">
        <f>IFERROR((E247 - VLOOKUP(C247, 'Stock Entry'!B:E, 4, FALSE)) * D247, "")</f>
        <v/>
      </c>
    </row>
    <row r="248" spans="7:11" x14ac:dyDescent="0.25">
      <c r="G248" s="12" t="str">
        <f t="shared" si="9"/>
        <v/>
      </c>
      <c r="I248" s="12" t="str">
        <f t="shared" si="10"/>
        <v/>
      </c>
      <c r="J248" s="12" t="str">
        <f t="shared" si="11"/>
        <v/>
      </c>
      <c r="K248" s="12" t="str">
        <f>IFERROR((E248 - VLOOKUP(C248, 'Stock Entry'!B:E, 4, FALSE)) * D248, "")</f>
        <v/>
      </c>
    </row>
    <row r="249" spans="7:11" x14ac:dyDescent="0.25">
      <c r="G249" s="12" t="str">
        <f t="shared" si="9"/>
        <v/>
      </c>
      <c r="I249" s="12" t="str">
        <f t="shared" si="10"/>
        <v/>
      </c>
      <c r="J249" s="12" t="str">
        <f t="shared" si="11"/>
        <v/>
      </c>
      <c r="K249" s="12" t="str">
        <f>IFERROR((E249 - VLOOKUP(C249, 'Stock Entry'!B:E, 4, FALSE)) * D249, "")</f>
        <v/>
      </c>
    </row>
    <row r="250" spans="7:11" x14ac:dyDescent="0.25">
      <c r="G250" s="12" t="str">
        <f t="shared" si="9"/>
        <v/>
      </c>
      <c r="I250" s="12" t="str">
        <f t="shared" si="10"/>
        <v/>
      </c>
      <c r="J250" s="12" t="str">
        <f t="shared" si="11"/>
        <v/>
      </c>
      <c r="K250" s="12" t="str">
        <f>IFERROR((E250 - VLOOKUP(C250, 'Stock Entry'!B:E, 4, FALSE)) * D250, "")</f>
        <v/>
      </c>
    </row>
    <row r="251" spans="7:11" x14ac:dyDescent="0.25">
      <c r="G251" s="12" t="str">
        <f t="shared" si="9"/>
        <v/>
      </c>
      <c r="I251" s="12" t="str">
        <f t="shared" si="10"/>
        <v/>
      </c>
      <c r="J251" s="12" t="str">
        <f t="shared" si="11"/>
        <v/>
      </c>
      <c r="K251" s="12" t="str">
        <f>IFERROR((E251 - VLOOKUP(C251, 'Stock Entry'!B:E, 4, FALSE)) * D251, "")</f>
        <v/>
      </c>
    </row>
    <row r="252" spans="7:11" x14ac:dyDescent="0.25">
      <c r="G252" s="12" t="str">
        <f t="shared" si="9"/>
        <v/>
      </c>
      <c r="I252" s="12" t="str">
        <f t="shared" si="10"/>
        <v/>
      </c>
      <c r="J252" s="12" t="str">
        <f t="shared" si="11"/>
        <v/>
      </c>
      <c r="K252" s="12" t="str">
        <f>IFERROR((E252 - VLOOKUP(C252, 'Stock Entry'!B:E, 4, FALSE)) * D252, "")</f>
        <v/>
      </c>
    </row>
    <row r="253" spans="7:11" x14ac:dyDescent="0.25">
      <c r="G253" s="12" t="str">
        <f t="shared" si="9"/>
        <v/>
      </c>
      <c r="I253" s="12" t="str">
        <f t="shared" si="10"/>
        <v/>
      </c>
      <c r="J253" s="12" t="str">
        <f t="shared" si="11"/>
        <v/>
      </c>
      <c r="K253" s="12" t="str">
        <f>IFERROR((E253 - VLOOKUP(C253, 'Stock Entry'!B:E, 4, FALSE)) * D253, "")</f>
        <v/>
      </c>
    </row>
    <row r="254" spans="7:11" x14ac:dyDescent="0.25">
      <c r="G254" s="12" t="str">
        <f t="shared" si="9"/>
        <v/>
      </c>
      <c r="I254" s="12" t="str">
        <f t="shared" si="10"/>
        <v/>
      </c>
      <c r="J254" s="12" t="str">
        <f t="shared" si="11"/>
        <v/>
      </c>
      <c r="K254" s="12" t="str">
        <f>IFERROR((E254 - VLOOKUP(C254, 'Stock Entry'!B:E, 4, FALSE)) * D254, "")</f>
        <v/>
      </c>
    </row>
    <row r="255" spans="7:11" x14ac:dyDescent="0.25">
      <c r="G255" s="12" t="str">
        <f t="shared" si="9"/>
        <v/>
      </c>
      <c r="I255" s="12" t="str">
        <f t="shared" si="10"/>
        <v/>
      </c>
      <c r="J255" s="12" t="str">
        <f t="shared" si="11"/>
        <v/>
      </c>
      <c r="K255" s="12" t="str">
        <f>IFERROR((E255 - VLOOKUP(C255, 'Stock Entry'!B:E, 4, FALSE)) * D255, "")</f>
        <v/>
      </c>
    </row>
    <row r="256" spans="7:11" x14ac:dyDescent="0.25">
      <c r="G256" s="12" t="str">
        <f t="shared" si="9"/>
        <v/>
      </c>
      <c r="I256" s="12" t="str">
        <f t="shared" si="10"/>
        <v/>
      </c>
      <c r="J256" s="12" t="str">
        <f t="shared" si="11"/>
        <v/>
      </c>
      <c r="K256" s="12" t="str">
        <f>IFERROR((E256 - VLOOKUP(C256, 'Stock Entry'!B:E, 4, FALSE)) * D256, "")</f>
        <v/>
      </c>
    </row>
    <row r="257" spans="7:11" x14ac:dyDescent="0.25">
      <c r="G257" s="12" t="str">
        <f t="shared" si="9"/>
        <v/>
      </c>
      <c r="I257" s="12" t="str">
        <f t="shared" si="10"/>
        <v/>
      </c>
      <c r="J257" s="12" t="str">
        <f t="shared" si="11"/>
        <v/>
      </c>
      <c r="K257" s="12" t="str">
        <f>IFERROR((E257 - VLOOKUP(C257, 'Stock Entry'!B:E, 4, FALSE)) * D257, "")</f>
        <v/>
      </c>
    </row>
    <row r="258" spans="7:11" x14ac:dyDescent="0.25">
      <c r="G258" s="12" t="str">
        <f t="shared" si="9"/>
        <v/>
      </c>
      <c r="I258" s="12" t="str">
        <f t="shared" si="10"/>
        <v/>
      </c>
      <c r="J258" s="12" t="str">
        <f t="shared" si="11"/>
        <v/>
      </c>
      <c r="K258" s="12" t="str">
        <f>IFERROR((E258 - VLOOKUP(C258, 'Stock Entry'!B:E, 4, FALSE)) * D258, "")</f>
        <v/>
      </c>
    </row>
    <row r="259" spans="7:11" x14ac:dyDescent="0.25">
      <c r="G259" s="12" t="str">
        <f t="shared" ref="G259:G322" si="12">IF(F259="Full Cash", D259*E259, "")</f>
        <v/>
      </c>
      <c r="I259" s="12" t="str">
        <f t="shared" ref="I259:I322" si="13">IF(F259="Full Credit",D259*E259,IF(F259="Partly Payment",(D259*E259)-H259,""))</f>
        <v/>
      </c>
      <c r="J259" s="12" t="str">
        <f t="shared" ref="J259:J322" si="14">IF(F259="Full Cash", G259, IF(F259="Full Credit", I259, IF(F259="Partly Payment", H259+I259, "")))</f>
        <v/>
      </c>
      <c r="K259" s="12" t="str">
        <f>IFERROR((E259 - VLOOKUP(C259, 'Stock Entry'!B:E, 4, FALSE)) * D259, "")</f>
        <v/>
      </c>
    </row>
    <row r="260" spans="7:11" x14ac:dyDescent="0.25">
      <c r="G260" s="12" t="str">
        <f t="shared" si="12"/>
        <v/>
      </c>
      <c r="I260" s="12" t="str">
        <f t="shared" si="13"/>
        <v/>
      </c>
      <c r="J260" s="12" t="str">
        <f t="shared" si="14"/>
        <v/>
      </c>
      <c r="K260" s="12" t="str">
        <f>IFERROR((E260 - VLOOKUP(C260, 'Stock Entry'!B:E, 4, FALSE)) * D260, "")</f>
        <v/>
      </c>
    </row>
    <row r="261" spans="7:11" x14ac:dyDescent="0.25">
      <c r="G261" s="12" t="str">
        <f t="shared" si="12"/>
        <v/>
      </c>
      <c r="I261" s="12" t="str">
        <f t="shared" si="13"/>
        <v/>
      </c>
      <c r="J261" s="12" t="str">
        <f t="shared" si="14"/>
        <v/>
      </c>
      <c r="K261" s="12" t="str">
        <f>IFERROR((E261 - VLOOKUP(C261, 'Stock Entry'!B:E, 4, FALSE)) * D261, "")</f>
        <v/>
      </c>
    </row>
    <row r="262" spans="7:11" x14ac:dyDescent="0.25">
      <c r="G262" s="12" t="str">
        <f t="shared" si="12"/>
        <v/>
      </c>
      <c r="I262" s="12" t="str">
        <f t="shared" si="13"/>
        <v/>
      </c>
      <c r="J262" s="12" t="str">
        <f t="shared" si="14"/>
        <v/>
      </c>
      <c r="K262" s="12" t="str">
        <f>IFERROR((E262 - VLOOKUP(C262, 'Stock Entry'!B:E, 4, FALSE)) * D262, "")</f>
        <v/>
      </c>
    </row>
    <row r="263" spans="7:11" x14ac:dyDescent="0.25">
      <c r="G263" s="12" t="str">
        <f t="shared" si="12"/>
        <v/>
      </c>
      <c r="I263" s="12" t="str">
        <f t="shared" si="13"/>
        <v/>
      </c>
      <c r="J263" s="12" t="str">
        <f t="shared" si="14"/>
        <v/>
      </c>
      <c r="K263" s="12" t="str">
        <f>IFERROR((E263 - VLOOKUP(C263, 'Stock Entry'!B:E, 4, FALSE)) * D263, "")</f>
        <v/>
      </c>
    </row>
    <row r="264" spans="7:11" x14ac:dyDescent="0.25">
      <c r="G264" s="12" t="str">
        <f t="shared" si="12"/>
        <v/>
      </c>
      <c r="I264" s="12" t="str">
        <f t="shared" si="13"/>
        <v/>
      </c>
      <c r="J264" s="12" t="str">
        <f t="shared" si="14"/>
        <v/>
      </c>
      <c r="K264" s="12" t="str">
        <f>IFERROR((E264 - VLOOKUP(C264, 'Stock Entry'!B:E, 4, FALSE)) * D264, "")</f>
        <v/>
      </c>
    </row>
    <row r="265" spans="7:11" x14ac:dyDescent="0.25">
      <c r="G265" s="12" t="str">
        <f t="shared" si="12"/>
        <v/>
      </c>
      <c r="I265" s="12" t="str">
        <f t="shared" si="13"/>
        <v/>
      </c>
      <c r="J265" s="12" t="str">
        <f t="shared" si="14"/>
        <v/>
      </c>
      <c r="K265" s="12" t="str">
        <f>IFERROR((E265 - VLOOKUP(C265, 'Stock Entry'!B:E, 4, FALSE)) * D265, "")</f>
        <v/>
      </c>
    </row>
    <row r="266" spans="7:11" x14ac:dyDescent="0.25">
      <c r="G266" s="12" t="str">
        <f t="shared" si="12"/>
        <v/>
      </c>
      <c r="I266" s="12" t="str">
        <f t="shared" si="13"/>
        <v/>
      </c>
      <c r="J266" s="12" t="str">
        <f t="shared" si="14"/>
        <v/>
      </c>
      <c r="K266" s="12" t="str">
        <f>IFERROR((E266 - VLOOKUP(C266, 'Stock Entry'!B:E, 4, FALSE)) * D266, "")</f>
        <v/>
      </c>
    </row>
    <row r="267" spans="7:11" x14ac:dyDescent="0.25">
      <c r="G267" s="12" t="str">
        <f t="shared" si="12"/>
        <v/>
      </c>
      <c r="I267" s="12" t="str">
        <f t="shared" si="13"/>
        <v/>
      </c>
      <c r="J267" s="12" t="str">
        <f t="shared" si="14"/>
        <v/>
      </c>
      <c r="K267" s="12" t="str">
        <f>IFERROR((E267 - VLOOKUP(C267, 'Stock Entry'!B:E, 4, FALSE)) * D267, "")</f>
        <v/>
      </c>
    </row>
    <row r="268" spans="7:11" x14ac:dyDescent="0.25">
      <c r="G268" s="12" t="str">
        <f t="shared" si="12"/>
        <v/>
      </c>
      <c r="I268" s="12" t="str">
        <f t="shared" si="13"/>
        <v/>
      </c>
      <c r="J268" s="12" t="str">
        <f t="shared" si="14"/>
        <v/>
      </c>
      <c r="K268" s="12" t="str">
        <f>IFERROR((E268 - VLOOKUP(C268, 'Stock Entry'!B:E, 4, FALSE)) * D268, "")</f>
        <v/>
      </c>
    </row>
    <row r="269" spans="7:11" x14ac:dyDescent="0.25">
      <c r="G269" s="12" t="str">
        <f t="shared" si="12"/>
        <v/>
      </c>
      <c r="I269" s="12" t="str">
        <f t="shared" si="13"/>
        <v/>
      </c>
      <c r="J269" s="12" t="str">
        <f t="shared" si="14"/>
        <v/>
      </c>
      <c r="K269" s="12" t="str">
        <f>IFERROR((E269 - VLOOKUP(C269, 'Stock Entry'!B:E, 4, FALSE)) * D269, "")</f>
        <v/>
      </c>
    </row>
    <row r="270" spans="7:11" x14ac:dyDescent="0.25">
      <c r="G270" s="12" t="str">
        <f t="shared" si="12"/>
        <v/>
      </c>
      <c r="I270" s="12" t="str">
        <f t="shared" si="13"/>
        <v/>
      </c>
      <c r="J270" s="12" t="str">
        <f t="shared" si="14"/>
        <v/>
      </c>
      <c r="K270" s="12" t="str">
        <f>IFERROR((E270 - VLOOKUP(C270, 'Stock Entry'!B:E, 4, FALSE)) * D270, "")</f>
        <v/>
      </c>
    </row>
    <row r="271" spans="7:11" x14ac:dyDescent="0.25">
      <c r="G271" s="12" t="str">
        <f t="shared" si="12"/>
        <v/>
      </c>
      <c r="I271" s="12" t="str">
        <f t="shared" si="13"/>
        <v/>
      </c>
      <c r="J271" s="12" t="str">
        <f t="shared" si="14"/>
        <v/>
      </c>
      <c r="K271" s="12" t="str">
        <f>IFERROR((E271 - VLOOKUP(C271, 'Stock Entry'!B:E, 4, FALSE)) * D271, "")</f>
        <v/>
      </c>
    </row>
    <row r="272" spans="7:11" x14ac:dyDescent="0.25">
      <c r="G272" s="12" t="str">
        <f t="shared" si="12"/>
        <v/>
      </c>
      <c r="I272" s="12" t="str">
        <f t="shared" si="13"/>
        <v/>
      </c>
      <c r="J272" s="12" t="str">
        <f t="shared" si="14"/>
        <v/>
      </c>
      <c r="K272" s="12" t="str">
        <f>IFERROR((E272 - VLOOKUP(C272, 'Stock Entry'!B:E, 4, FALSE)) * D272, "")</f>
        <v/>
      </c>
    </row>
    <row r="273" spans="7:11" x14ac:dyDescent="0.25">
      <c r="G273" s="12" t="str">
        <f t="shared" si="12"/>
        <v/>
      </c>
      <c r="I273" s="12" t="str">
        <f t="shared" si="13"/>
        <v/>
      </c>
      <c r="J273" s="12" t="str">
        <f t="shared" si="14"/>
        <v/>
      </c>
      <c r="K273" s="12" t="str">
        <f>IFERROR((E273 - VLOOKUP(C273, 'Stock Entry'!B:E, 4, FALSE)) * D273, "")</f>
        <v/>
      </c>
    </row>
    <row r="274" spans="7:11" x14ac:dyDescent="0.25">
      <c r="G274" s="12" t="str">
        <f t="shared" si="12"/>
        <v/>
      </c>
      <c r="I274" s="12" t="str">
        <f t="shared" si="13"/>
        <v/>
      </c>
      <c r="J274" s="12" t="str">
        <f t="shared" si="14"/>
        <v/>
      </c>
      <c r="K274" s="12" t="str">
        <f>IFERROR((E274 - VLOOKUP(C274, 'Stock Entry'!B:E, 4, FALSE)) * D274, "")</f>
        <v/>
      </c>
    </row>
    <row r="275" spans="7:11" x14ac:dyDescent="0.25">
      <c r="G275" s="12" t="str">
        <f t="shared" si="12"/>
        <v/>
      </c>
      <c r="I275" s="12" t="str">
        <f t="shared" si="13"/>
        <v/>
      </c>
      <c r="J275" s="12" t="str">
        <f t="shared" si="14"/>
        <v/>
      </c>
      <c r="K275" s="12" t="str">
        <f>IFERROR((E275 - VLOOKUP(C275, 'Stock Entry'!B:E, 4, FALSE)) * D275, "")</f>
        <v/>
      </c>
    </row>
    <row r="276" spans="7:11" x14ac:dyDescent="0.25">
      <c r="G276" s="12" t="str">
        <f t="shared" si="12"/>
        <v/>
      </c>
      <c r="I276" s="12" t="str">
        <f t="shared" si="13"/>
        <v/>
      </c>
      <c r="J276" s="12" t="str">
        <f t="shared" si="14"/>
        <v/>
      </c>
      <c r="K276" s="12" t="str">
        <f>IFERROR((E276 - VLOOKUP(C276, 'Stock Entry'!B:E, 4, FALSE)) * D276, "")</f>
        <v/>
      </c>
    </row>
    <row r="277" spans="7:11" x14ac:dyDescent="0.25">
      <c r="G277" s="12" t="str">
        <f t="shared" si="12"/>
        <v/>
      </c>
      <c r="I277" s="12" t="str">
        <f t="shared" si="13"/>
        <v/>
      </c>
      <c r="J277" s="12" t="str">
        <f t="shared" si="14"/>
        <v/>
      </c>
      <c r="K277" s="12" t="str">
        <f>IFERROR((E277 - VLOOKUP(C277, 'Stock Entry'!B:E, 4, FALSE)) * D277, "")</f>
        <v/>
      </c>
    </row>
    <row r="278" spans="7:11" x14ac:dyDescent="0.25">
      <c r="G278" s="12" t="str">
        <f t="shared" si="12"/>
        <v/>
      </c>
      <c r="I278" s="12" t="str">
        <f t="shared" si="13"/>
        <v/>
      </c>
      <c r="J278" s="12" t="str">
        <f t="shared" si="14"/>
        <v/>
      </c>
      <c r="K278" s="12" t="str">
        <f>IFERROR((E278 - VLOOKUP(C278, 'Stock Entry'!B:E, 4, FALSE)) * D278, "")</f>
        <v/>
      </c>
    </row>
    <row r="279" spans="7:11" x14ac:dyDescent="0.25">
      <c r="G279" s="12" t="str">
        <f t="shared" si="12"/>
        <v/>
      </c>
      <c r="I279" s="12" t="str">
        <f t="shared" si="13"/>
        <v/>
      </c>
      <c r="J279" s="12" t="str">
        <f t="shared" si="14"/>
        <v/>
      </c>
      <c r="K279" s="12" t="str">
        <f>IFERROR((E279 - VLOOKUP(C279, 'Stock Entry'!B:E, 4, FALSE)) * D279, "")</f>
        <v/>
      </c>
    </row>
    <row r="280" spans="7:11" x14ac:dyDescent="0.25">
      <c r="G280" s="12" t="str">
        <f t="shared" si="12"/>
        <v/>
      </c>
      <c r="I280" s="12" t="str">
        <f t="shared" si="13"/>
        <v/>
      </c>
      <c r="J280" s="12" t="str">
        <f t="shared" si="14"/>
        <v/>
      </c>
      <c r="K280" s="12" t="str">
        <f>IFERROR((E280 - VLOOKUP(C280, 'Stock Entry'!B:E, 4, FALSE)) * D280, "")</f>
        <v/>
      </c>
    </row>
    <row r="281" spans="7:11" x14ac:dyDescent="0.25">
      <c r="G281" s="12" t="str">
        <f t="shared" si="12"/>
        <v/>
      </c>
      <c r="I281" s="12" t="str">
        <f t="shared" si="13"/>
        <v/>
      </c>
      <c r="J281" s="12" t="str">
        <f t="shared" si="14"/>
        <v/>
      </c>
      <c r="K281" s="12" t="str">
        <f>IFERROR((E281 - VLOOKUP(C281, 'Stock Entry'!B:E, 4, FALSE)) * D281, "")</f>
        <v/>
      </c>
    </row>
    <row r="282" spans="7:11" x14ac:dyDescent="0.25">
      <c r="G282" s="12" t="str">
        <f t="shared" si="12"/>
        <v/>
      </c>
      <c r="I282" s="12" t="str">
        <f t="shared" si="13"/>
        <v/>
      </c>
      <c r="J282" s="12" t="str">
        <f t="shared" si="14"/>
        <v/>
      </c>
      <c r="K282" s="12" t="str">
        <f>IFERROR((E282 - VLOOKUP(C282, 'Stock Entry'!B:E, 4, FALSE)) * D282, "")</f>
        <v/>
      </c>
    </row>
    <row r="283" spans="7:11" x14ac:dyDescent="0.25">
      <c r="G283" s="12" t="str">
        <f t="shared" si="12"/>
        <v/>
      </c>
      <c r="I283" s="12" t="str">
        <f t="shared" si="13"/>
        <v/>
      </c>
      <c r="J283" s="12" t="str">
        <f t="shared" si="14"/>
        <v/>
      </c>
      <c r="K283" s="12" t="str">
        <f>IFERROR((E283 - VLOOKUP(C283, 'Stock Entry'!B:E, 4, FALSE)) * D283, "")</f>
        <v/>
      </c>
    </row>
    <row r="284" spans="7:11" x14ac:dyDescent="0.25">
      <c r="G284" s="12" t="str">
        <f t="shared" si="12"/>
        <v/>
      </c>
      <c r="I284" s="12" t="str">
        <f t="shared" si="13"/>
        <v/>
      </c>
      <c r="J284" s="12" t="str">
        <f t="shared" si="14"/>
        <v/>
      </c>
      <c r="K284" s="12" t="str">
        <f>IFERROR((E284 - VLOOKUP(C284, 'Stock Entry'!B:E, 4, FALSE)) * D284, "")</f>
        <v/>
      </c>
    </row>
    <row r="285" spans="7:11" x14ac:dyDescent="0.25">
      <c r="G285" s="12" t="str">
        <f t="shared" si="12"/>
        <v/>
      </c>
      <c r="I285" s="12" t="str">
        <f t="shared" si="13"/>
        <v/>
      </c>
      <c r="J285" s="12" t="str">
        <f t="shared" si="14"/>
        <v/>
      </c>
      <c r="K285" s="12" t="str">
        <f>IFERROR((E285 - VLOOKUP(C285, 'Stock Entry'!B:E, 4, FALSE)) * D285, "")</f>
        <v/>
      </c>
    </row>
    <row r="286" spans="7:11" x14ac:dyDescent="0.25">
      <c r="G286" s="12" t="str">
        <f t="shared" si="12"/>
        <v/>
      </c>
      <c r="I286" s="12" t="str">
        <f t="shared" si="13"/>
        <v/>
      </c>
      <c r="J286" s="12" t="str">
        <f t="shared" si="14"/>
        <v/>
      </c>
      <c r="K286" s="12" t="str">
        <f>IFERROR((E286 - VLOOKUP(C286, 'Stock Entry'!B:E, 4, FALSE)) * D286, "")</f>
        <v/>
      </c>
    </row>
    <row r="287" spans="7:11" x14ac:dyDescent="0.25">
      <c r="G287" s="12" t="str">
        <f t="shared" si="12"/>
        <v/>
      </c>
      <c r="I287" s="12" t="str">
        <f t="shared" si="13"/>
        <v/>
      </c>
      <c r="J287" s="12" t="str">
        <f t="shared" si="14"/>
        <v/>
      </c>
      <c r="K287" s="12" t="str">
        <f>IFERROR((E287 - VLOOKUP(C287, 'Stock Entry'!B:E, 4, FALSE)) * D287, "")</f>
        <v/>
      </c>
    </row>
    <row r="288" spans="7:11" x14ac:dyDescent="0.25">
      <c r="G288" s="12" t="str">
        <f t="shared" si="12"/>
        <v/>
      </c>
      <c r="I288" s="12" t="str">
        <f t="shared" si="13"/>
        <v/>
      </c>
      <c r="J288" s="12" t="str">
        <f t="shared" si="14"/>
        <v/>
      </c>
      <c r="K288" s="12" t="str">
        <f>IFERROR((E288 - VLOOKUP(C288, 'Stock Entry'!B:E, 4, FALSE)) * D288, "")</f>
        <v/>
      </c>
    </row>
    <row r="289" spans="7:11" x14ac:dyDescent="0.25">
      <c r="G289" s="12" t="str">
        <f t="shared" si="12"/>
        <v/>
      </c>
      <c r="I289" s="12" t="str">
        <f t="shared" si="13"/>
        <v/>
      </c>
      <c r="J289" s="12" t="str">
        <f t="shared" si="14"/>
        <v/>
      </c>
      <c r="K289" s="12" t="str">
        <f>IFERROR((E289 - VLOOKUP(C289, 'Stock Entry'!B:E, 4, FALSE)) * D289, "")</f>
        <v/>
      </c>
    </row>
    <row r="290" spans="7:11" x14ac:dyDescent="0.25">
      <c r="G290" s="12" t="str">
        <f t="shared" si="12"/>
        <v/>
      </c>
      <c r="I290" s="12" t="str">
        <f t="shared" si="13"/>
        <v/>
      </c>
      <c r="J290" s="12" t="str">
        <f t="shared" si="14"/>
        <v/>
      </c>
      <c r="K290" s="12" t="str">
        <f>IFERROR((E290 - VLOOKUP(C290, 'Stock Entry'!B:E, 4, FALSE)) * D290, "")</f>
        <v/>
      </c>
    </row>
    <row r="291" spans="7:11" x14ac:dyDescent="0.25">
      <c r="G291" s="12" t="str">
        <f t="shared" si="12"/>
        <v/>
      </c>
      <c r="I291" s="12" t="str">
        <f t="shared" si="13"/>
        <v/>
      </c>
      <c r="J291" s="12" t="str">
        <f t="shared" si="14"/>
        <v/>
      </c>
      <c r="K291" s="12" t="str">
        <f>IFERROR((E291 - VLOOKUP(C291, 'Stock Entry'!B:E, 4, FALSE)) * D291, "")</f>
        <v/>
      </c>
    </row>
    <row r="292" spans="7:11" x14ac:dyDescent="0.25">
      <c r="G292" s="12" t="str">
        <f t="shared" si="12"/>
        <v/>
      </c>
      <c r="I292" s="12" t="str">
        <f t="shared" si="13"/>
        <v/>
      </c>
      <c r="J292" s="12" t="str">
        <f t="shared" si="14"/>
        <v/>
      </c>
      <c r="K292" s="12" t="str">
        <f>IFERROR((E292 - VLOOKUP(C292, 'Stock Entry'!B:E, 4, FALSE)) * D292, "")</f>
        <v/>
      </c>
    </row>
    <row r="293" spans="7:11" x14ac:dyDescent="0.25">
      <c r="G293" s="12" t="str">
        <f t="shared" si="12"/>
        <v/>
      </c>
      <c r="I293" s="12" t="str">
        <f t="shared" si="13"/>
        <v/>
      </c>
      <c r="J293" s="12" t="str">
        <f t="shared" si="14"/>
        <v/>
      </c>
      <c r="K293" s="12" t="str">
        <f>IFERROR((E293 - VLOOKUP(C293, 'Stock Entry'!B:E, 4, FALSE)) * D293, "")</f>
        <v/>
      </c>
    </row>
    <row r="294" spans="7:11" x14ac:dyDescent="0.25">
      <c r="G294" s="12" t="str">
        <f t="shared" si="12"/>
        <v/>
      </c>
      <c r="I294" s="12" t="str">
        <f t="shared" si="13"/>
        <v/>
      </c>
      <c r="J294" s="12" t="str">
        <f t="shared" si="14"/>
        <v/>
      </c>
      <c r="K294" s="12" t="str">
        <f>IFERROR((E294 - VLOOKUP(C294, 'Stock Entry'!B:E, 4, FALSE)) * D294, "")</f>
        <v/>
      </c>
    </row>
    <row r="295" spans="7:11" x14ac:dyDescent="0.25">
      <c r="G295" s="12" t="str">
        <f t="shared" si="12"/>
        <v/>
      </c>
      <c r="I295" s="12" t="str">
        <f t="shared" si="13"/>
        <v/>
      </c>
      <c r="J295" s="12" t="str">
        <f t="shared" si="14"/>
        <v/>
      </c>
      <c r="K295" s="12" t="str">
        <f>IFERROR((E295 - VLOOKUP(C295, 'Stock Entry'!B:E, 4, FALSE)) * D295, "")</f>
        <v/>
      </c>
    </row>
    <row r="296" spans="7:11" x14ac:dyDescent="0.25">
      <c r="G296" s="12" t="str">
        <f t="shared" si="12"/>
        <v/>
      </c>
      <c r="I296" s="12" t="str">
        <f t="shared" si="13"/>
        <v/>
      </c>
      <c r="J296" s="12" t="str">
        <f t="shared" si="14"/>
        <v/>
      </c>
      <c r="K296" s="12" t="str">
        <f>IFERROR((E296 - VLOOKUP(C296, 'Stock Entry'!B:E, 4, FALSE)) * D296, "")</f>
        <v/>
      </c>
    </row>
    <row r="297" spans="7:11" x14ac:dyDescent="0.25">
      <c r="G297" s="12" t="str">
        <f t="shared" si="12"/>
        <v/>
      </c>
      <c r="I297" s="12" t="str">
        <f t="shared" si="13"/>
        <v/>
      </c>
      <c r="J297" s="12" t="str">
        <f t="shared" si="14"/>
        <v/>
      </c>
      <c r="K297" s="12" t="str">
        <f>IFERROR((E297 - VLOOKUP(C297, 'Stock Entry'!B:E, 4, FALSE)) * D297, "")</f>
        <v/>
      </c>
    </row>
    <row r="298" spans="7:11" x14ac:dyDescent="0.25">
      <c r="G298" s="12" t="str">
        <f t="shared" si="12"/>
        <v/>
      </c>
      <c r="I298" s="12" t="str">
        <f t="shared" si="13"/>
        <v/>
      </c>
      <c r="J298" s="12" t="str">
        <f t="shared" si="14"/>
        <v/>
      </c>
      <c r="K298" s="12" t="str">
        <f>IFERROR((E298 - VLOOKUP(C298, 'Stock Entry'!B:E, 4, FALSE)) * D298, "")</f>
        <v/>
      </c>
    </row>
    <row r="299" spans="7:11" x14ac:dyDescent="0.25">
      <c r="G299" s="12" t="str">
        <f t="shared" si="12"/>
        <v/>
      </c>
      <c r="I299" s="12" t="str">
        <f t="shared" si="13"/>
        <v/>
      </c>
      <c r="J299" s="12" t="str">
        <f t="shared" si="14"/>
        <v/>
      </c>
      <c r="K299" s="12" t="str">
        <f>IFERROR((E299 - VLOOKUP(C299, 'Stock Entry'!B:E, 4, FALSE)) * D299, "")</f>
        <v/>
      </c>
    </row>
    <row r="300" spans="7:11" x14ac:dyDescent="0.25">
      <c r="G300" s="12" t="str">
        <f t="shared" si="12"/>
        <v/>
      </c>
      <c r="I300" s="12" t="str">
        <f t="shared" si="13"/>
        <v/>
      </c>
      <c r="J300" s="12" t="str">
        <f t="shared" si="14"/>
        <v/>
      </c>
      <c r="K300" s="12" t="str">
        <f>IFERROR((E300 - VLOOKUP(C300, 'Stock Entry'!B:E, 4, FALSE)) * D300, "")</f>
        <v/>
      </c>
    </row>
    <row r="301" spans="7:11" x14ac:dyDescent="0.25">
      <c r="G301" s="12" t="str">
        <f t="shared" si="12"/>
        <v/>
      </c>
      <c r="I301" s="12" t="str">
        <f t="shared" si="13"/>
        <v/>
      </c>
      <c r="J301" s="12" t="str">
        <f t="shared" si="14"/>
        <v/>
      </c>
      <c r="K301" s="12" t="str">
        <f>IFERROR((E301 - VLOOKUP(C301, 'Stock Entry'!B:E, 4, FALSE)) * D301, "")</f>
        <v/>
      </c>
    </row>
    <row r="302" spans="7:11" x14ac:dyDescent="0.25">
      <c r="G302" s="12" t="str">
        <f t="shared" si="12"/>
        <v/>
      </c>
      <c r="I302" s="12" t="str">
        <f t="shared" si="13"/>
        <v/>
      </c>
      <c r="J302" s="12" t="str">
        <f t="shared" si="14"/>
        <v/>
      </c>
      <c r="K302" s="12" t="str">
        <f>IFERROR((E302 - VLOOKUP(C302, 'Stock Entry'!B:E, 4, FALSE)) * D302, "")</f>
        <v/>
      </c>
    </row>
    <row r="303" spans="7:11" x14ac:dyDescent="0.25">
      <c r="G303" s="12" t="str">
        <f t="shared" si="12"/>
        <v/>
      </c>
      <c r="I303" s="12" t="str">
        <f t="shared" si="13"/>
        <v/>
      </c>
      <c r="J303" s="12" t="str">
        <f t="shared" si="14"/>
        <v/>
      </c>
      <c r="K303" s="12" t="str">
        <f>IFERROR((E303 - VLOOKUP(C303, 'Stock Entry'!B:E, 4, FALSE)) * D303, "")</f>
        <v/>
      </c>
    </row>
    <row r="304" spans="7:11" x14ac:dyDescent="0.25">
      <c r="G304" s="12" t="str">
        <f t="shared" si="12"/>
        <v/>
      </c>
      <c r="I304" s="12" t="str">
        <f t="shared" si="13"/>
        <v/>
      </c>
      <c r="J304" s="12" t="str">
        <f t="shared" si="14"/>
        <v/>
      </c>
      <c r="K304" s="12" t="str">
        <f>IFERROR((E304 - VLOOKUP(C304, 'Stock Entry'!B:E, 4, FALSE)) * D304, "")</f>
        <v/>
      </c>
    </row>
    <row r="305" spans="7:11" x14ac:dyDescent="0.25">
      <c r="G305" s="12" t="str">
        <f t="shared" si="12"/>
        <v/>
      </c>
      <c r="I305" s="12" t="str">
        <f t="shared" si="13"/>
        <v/>
      </c>
      <c r="J305" s="12" t="str">
        <f t="shared" si="14"/>
        <v/>
      </c>
      <c r="K305" s="12" t="str">
        <f>IFERROR((E305 - VLOOKUP(C305, 'Stock Entry'!B:E, 4, FALSE)) * D305, "")</f>
        <v/>
      </c>
    </row>
    <row r="306" spans="7:11" x14ac:dyDescent="0.25">
      <c r="G306" s="12" t="str">
        <f t="shared" si="12"/>
        <v/>
      </c>
      <c r="I306" s="12" t="str">
        <f t="shared" si="13"/>
        <v/>
      </c>
      <c r="J306" s="12" t="str">
        <f t="shared" si="14"/>
        <v/>
      </c>
      <c r="K306" s="12" t="str">
        <f>IFERROR((E306 - VLOOKUP(C306, 'Stock Entry'!B:E, 4, FALSE)) * D306, "")</f>
        <v/>
      </c>
    </row>
    <row r="307" spans="7:11" x14ac:dyDescent="0.25">
      <c r="G307" s="12" t="str">
        <f t="shared" si="12"/>
        <v/>
      </c>
      <c r="I307" s="12" t="str">
        <f t="shared" si="13"/>
        <v/>
      </c>
      <c r="J307" s="12" t="str">
        <f t="shared" si="14"/>
        <v/>
      </c>
      <c r="K307" s="12" t="str">
        <f>IFERROR((E307 - VLOOKUP(C307, 'Stock Entry'!B:E, 4, FALSE)) * D307, "")</f>
        <v/>
      </c>
    </row>
    <row r="308" spans="7:11" x14ac:dyDescent="0.25">
      <c r="G308" s="12" t="str">
        <f t="shared" si="12"/>
        <v/>
      </c>
      <c r="I308" s="12" t="str">
        <f t="shared" si="13"/>
        <v/>
      </c>
      <c r="J308" s="12" t="str">
        <f t="shared" si="14"/>
        <v/>
      </c>
      <c r="K308" s="12" t="str">
        <f>IFERROR((E308 - VLOOKUP(C308, 'Stock Entry'!B:E, 4, FALSE)) * D308, "")</f>
        <v/>
      </c>
    </row>
    <row r="309" spans="7:11" x14ac:dyDescent="0.25">
      <c r="G309" s="12" t="str">
        <f t="shared" si="12"/>
        <v/>
      </c>
      <c r="I309" s="12" t="str">
        <f t="shared" si="13"/>
        <v/>
      </c>
      <c r="J309" s="12" t="str">
        <f t="shared" si="14"/>
        <v/>
      </c>
      <c r="K309" s="12" t="str">
        <f>IFERROR((E309 - VLOOKUP(C309, 'Stock Entry'!B:E, 4, FALSE)) * D309, "")</f>
        <v/>
      </c>
    </row>
    <row r="310" spans="7:11" x14ac:dyDescent="0.25">
      <c r="G310" s="12" t="str">
        <f t="shared" si="12"/>
        <v/>
      </c>
      <c r="I310" s="12" t="str">
        <f t="shared" si="13"/>
        <v/>
      </c>
      <c r="J310" s="12" t="str">
        <f t="shared" si="14"/>
        <v/>
      </c>
      <c r="K310" s="12" t="str">
        <f>IFERROR((E310 - VLOOKUP(C310, 'Stock Entry'!B:E, 4, FALSE)) * D310, "")</f>
        <v/>
      </c>
    </row>
    <row r="311" spans="7:11" x14ac:dyDescent="0.25">
      <c r="G311" s="12" t="str">
        <f t="shared" si="12"/>
        <v/>
      </c>
      <c r="I311" s="12" t="str">
        <f t="shared" si="13"/>
        <v/>
      </c>
      <c r="J311" s="12" t="str">
        <f t="shared" si="14"/>
        <v/>
      </c>
      <c r="K311" s="12" t="str">
        <f>IFERROR((E311 - VLOOKUP(C311, 'Stock Entry'!B:E, 4, FALSE)) * D311, "")</f>
        <v/>
      </c>
    </row>
    <row r="312" spans="7:11" x14ac:dyDescent="0.25">
      <c r="G312" s="12" t="str">
        <f t="shared" si="12"/>
        <v/>
      </c>
      <c r="I312" s="12" t="str">
        <f t="shared" si="13"/>
        <v/>
      </c>
      <c r="J312" s="12" t="str">
        <f t="shared" si="14"/>
        <v/>
      </c>
      <c r="K312" s="12" t="str">
        <f>IFERROR((E312 - VLOOKUP(C312, 'Stock Entry'!B:E, 4, FALSE)) * D312, "")</f>
        <v/>
      </c>
    </row>
    <row r="313" spans="7:11" x14ac:dyDescent="0.25">
      <c r="G313" s="12" t="str">
        <f t="shared" si="12"/>
        <v/>
      </c>
      <c r="I313" s="12" t="str">
        <f t="shared" si="13"/>
        <v/>
      </c>
      <c r="J313" s="12" t="str">
        <f t="shared" si="14"/>
        <v/>
      </c>
      <c r="K313" s="12" t="str">
        <f>IFERROR((E313 - VLOOKUP(C313, 'Stock Entry'!B:E, 4, FALSE)) * D313, "")</f>
        <v/>
      </c>
    </row>
    <row r="314" spans="7:11" x14ac:dyDescent="0.25">
      <c r="G314" s="12" t="str">
        <f t="shared" si="12"/>
        <v/>
      </c>
      <c r="I314" s="12" t="str">
        <f t="shared" si="13"/>
        <v/>
      </c>
      <c r="J314" s="12" t="str">
        <f t="shared" si="14"/>
        <v/>
      </c>
      <c r="K314" s="12" t="str">
        <f>IFERROR((E314 - VLOOKUP(C314, 'Stock Entry'!B:E, 4, FALSE)) * D314, "")</f>
        <v/>
      </c>
    </row>
    <row r="315" spans="7:11" x14ac:dyDescent="0.25">
      <c r="G315" s="12" t="str">
        <f t="shared" si="12"/>
        <v/>
      </c>
      <c r="I315" s="12" t="str">
        <f t="shared" si="13"/>
        <v/>
      </c>
      <c r="J315" s="12" t="str">
        <f t="shared" si="14"/>
        <v/>
      </c>
      <c r="K315" s="12" t="str">
        <f>IFERROR((E315 - VLOOKUP(C315, 'Stock Entry'!B:E, 4, FALSE)) * D315, "")</f>
        <v/>
      </c>
    </row>
    <row r="316" spans="7:11" x14ac:dyDescent="0.25">
      <c r="G316" s="12" t="str">
        <f t="shared" si="12"/>
        <v/>
      </c>
      <c r="I316" s="12" t="str">
        <f t="shared" si="13"/>
        <v/>
      </c>
      <c r="J316" s="12" t="str">
        <f t="shared" si="14"/>
        <v/>
      </c>
      <c r="K316" s="12" t="str">
        <f>IFERROR((E316 - VLOOKUP(C316, 'Stock Entry'!B:E, 4, FALSE)) * D316, "")</f>
        <v/>
      </c>
    </row>
    <row r="317" spans="7:11" x14ac:dyDescent="0.25">
      <c r="G317" s="12" t="str">
        <f t="shared" si="12"/>
        <v/>
      </c>
      <c r="I317" s="12" t="str">
        <f t="shared" si="13"/>
        <v/>
      </c>
      <c r="J317" s="12" t="str">
        <f t="shared" si="14"/>
        <v/>
      </c>
      <c r="K317" s="12" t="str">
        <f>IFERROR((E317 - VLOOKUP(C317, 'Stock Entry'!B:E, 4, FALSE)) * D317, "")</f>
        <v/>
      </c>
    </row>
    <row r="318" spans="7:11" x14ac:dyDescent="0.25">
      <c r="G318" s="12" t="str">
        <f t="shared" si="12"/>
        <v/>
      </c>
      <c r="I318" s="12" t="str">
        <f t="shared" si="13"/>
        <v/>
      </c>
      <c r="J318" s="12" t="str">
        <f t="shared" si="14"/>
        <v/>
      </c>
      <c r="K318" s="12" t="str">
        <f>IFERROR((E318 - VLOOKUP(C318, 'Stock Entry'!B:E, 4, FALSE)) * D318, "")</f>
        <v/>
      </c>
    </row>
    <row r="319" spans="7:11" x14ac:dyDescent="0.25">
      <c r="G319" s="12" t="str">
        <f t="shared" si="12"/>
        <v/>
      </c>
      <c r="I319" s="12" t="str">
        <f t="shared" si="13"/>
        <v/>
      </c>
      <c r="J319" s="12" t="str">
        <f t="shared" si="14"/>
        <v/>
      </c>
      <c r="K319" s="12" t="str">
        <f>IFERROR((E319 - VLOOKUP(C319, 'Stock Entry'!B:E, 4, FALSE)) * D319, "")</f>
        <v/>
      </c>
    </row>
    <row r="320" spans="7:11" x14ac:dyDescent="0.25">
      <c r="G320" s="12" t="str">
        <f t="shared" si="12"/>
        <v/>
      </c>
      <c r="I320" s="12" t="str">
        <f t="shared" si="13"/>
        <v/>
      </c>
      <c r="J320" s="12" t="str">
        <f t="shared" si="14"/>
        <v/>
      </c>
      <c r="K320" s="12" t="str">
        <f>IFERROR((E320 - VLOOKUP(C320, 'Stock Entry'!B:E, 4, FALSE)) * D320, "")</f>
        <v/>
      </c>
    </row>
    <row r="321" spans="7:11" x14ac:dyDescent="0.25">
      <c r="G321" s="12" t="str">
        <f t="shared" si="12"/>
        <v/>
      </c>
      <c r="I321" s="12" t="str">
        <f t="shared" si="13"/>
        <v/>
      </c>
      <c r="J321" s="12" t="str">
        <f t="shared" si="14"/>
        <v/>
      </c>
      <c r="K321" s="12" t="str">
        <f>IFERROR((E321 - VLOOKUP(C321, 'Stock Entry'!B:E, 4, FALSE)) * D321, "")</f>
        <v/>
      </c>
    </row>
    <row r="322" spans="7:11" x14ac:dyDescent="0.25">
      <c r="G322" s="12" t="str">
        <f t="shared" si="12"/>
        <v/>
      </c>
      <c r="I322" s="12" t="str">
        <f t="shared" si="13"/>
        <v/>
      </c>
      <c r="J322" s="12" t="str">
        <f t="shared" si="14"/>
        <v/>
      </c>
      <c r="K322" s="12" t="str">
        <f>IFERROR((E322 - VLOOKUP(C322, 'Stock Entry'!B:E, 4, FALSE)) * D322, "")</f>
        <v/>
      </c>
    </row>
    <row r="323" spans="7:11" x14ac:dyDescent="0.25">
      <c r="G323" s="12" t="str">
        <f t="shared" ref="G323:G386" si="15">IF(F323="Full Cash", D323*E323, "")</f>
        <v/>
      </c>
      <c r="I323" s="12" t="str">
        <f t="shared" ref="I323:I386" si="16">IF(F323="Full Credit",D323*E323,IF(F323="Partly Payment",(D323*E323)-H323,""))</f>
        <v/>
      </c>
      <c r="J323" s="12" t="str">
        <f t="shared" ref="J323:J386" si="17">IF(F323="Full Cash", G323, IF(F323="Full Credit", I323, IF(F323="Partly Payment", H323+I323, "")))</f>
        <v/>
      </c>
      <c r="K323" s="12" t="str">
        <f>IFERROR((E323 - VLOOKUP(C323, 'Stock Entry'!B:E, 4, FALSE)) * D323, "")</f>
        <v/>
      </c>
    </row>
    <row r="324" spans="7:11" x14ac:dyDescent="0.25">
      <c r="G324" s="12" t="str">
        <f t="shared" si="15"/>
        <v/>
      </c>
      <c r="I324" s="12" t="str">
        <f t="shared" si="16"/>
        <v/>
      </c>
      <c r="J324" s="12" t="str">
        <f t="shared" si="17"/>
        <v/>
      </c>
      <c r="K324" s="12" t="str">
        <f>IFERROR((E324 - VLOOKUP(C324, 'Stock Entry'!B:E, 4, FALSE)) * D324, "")</f>
        <v/>
      </c>
    </row>
    <row r="325" spans="7:11" x14ac:dyDescent="0.25">
      <c r="G325" s="12" t="str">
        <f t="shared" si="15"/>
        <v/>
      </c>
      <c r="I325" s="12" t="str">
        <f t="shared" si="16"/>
        <v/>
      </c>
      <c r="J325" s="12" t="str">
        <f t="shared" si="17"/>
        <v/>
      </c>
      <c r="K325" s="12" t="str">
        <f>IFERROR((E325 - VLOOKUP(C325, 'Stock Entry'!B:E, 4, FALSE)) * D325, "")</f>
        <v/>
      </c>
    </row>
    <row r="326" spans="7:11" x14ac:dyDescent="0.25">
      <c r="G326" s="12" t="str">
        <f t="shared" si="15"/>
        <v/>
      </c>
      <c r="I326" s="12" t="str">
        <f t="shared" si="16"/>
        <v/>
      </c>
      <c r="J326" s="12" t="str">
        <f t="shared" si="17"/>
        <v/>
      </c>
      <c r="K326" s="12" t="str">
        <f>IFERROR((E326 - VLOOKUP(C326, 'Stock Entry'!B:E, 4, FALSE)) * D326, "")</f>
        <v/>
      </c>
    </row>
    <row r="327" spans="7:11" x14ac:dyDescent="0.25">
      <c r="G327" s="12" t="str">
        <f t="shared" si="15"/>
        <v/>
      </c>
      <c r="I327" s="12" t="str">
        <f t="shared" si="16"/>
        <v/>
      </c>
      <c r="J327" s="12" t="str">
        <f t="shared" si="17"/>
        <v/>
      </c>
      <c r="K327" s="12" t="str">
        <f>IFERROR((E327 - VLOOKUP(C327, 'Stock Entry'!B:E, 4, FALSE)) * D327, "")</f>
        <v/>
      </c>
    </row>
    <row r="328" spans="7:11" x14ac:dyDescent="0.25">
      <c r="G328" s="12" t="str">
        <f t="shared" si="15"/>
        <v/>
      </c>
      <c r="I328" s="12" t="str">
        <f t="shared" si="16"/>
        <v/>
      </c>
      <c r="J328" s="12" t="str">
        <f t="shared" si="17"/>
        <v/>
      </c>
      <c r="K328" s="12" t="str">
        <f>IFERROR((E328 - VLOOKUP(C328, 'Stock Entry'!B:E, 4, FALSE)) * D328, "")</f>
        <v/>
      </c>
    </row>
    <row r="329" spans="7:11" x14ac:dyDescent="0.25">
      <c r="G329" s="12" t="str">
        <f t="shared" si="15"/>
        <v/>
      </c>
      <c r="I329" s="12" t="str">
        <f t="shared" si="16"/>
        <v/>
      </c>
      <c r="J329" s="12" t="str">
        <f t="shared" si="17"/>
        <v/>
      </c>
      <c r="K329" s="12" t="str">
        <f>IFERROR((E329 - VLOOKUP(C329, 'Stock Entry'!B:E, 4, FALSE)) * D329, "")</f>
        <v/>
      </c>
    </row>
    <row r="330" spans="7:11" x14ac:dyDescent="0.25">
      <c r="G330" s="12" t="str">
        <f t="shared" si="15"/>
        <v/>
      </c>
      <c r="I330" s="12" t="str">
        <f t="shared" si="16"/>
        <v/>
      </c>
      <c r="J330" s="12" t="str">
        <f t="shared" si="17"/>
        <v/>
      </c>
      <c r="K330" s="12" t="str">
        <f>IFERROR((E330 - VLOOKUP(C330, 'Stock Entry'!B:E, 4, FALSE)) * D330, "")</f>
        <v/>
      </c>
    </row>
    <row r="331" spans="7:11" x14ac:dyDescent="0.25">
      <c r="G331" s="12" t="str">
        <f t="shared" si="15"/>
        <v/>
      </c>
      <c r="I331" s="12" t="str">
        <f t="shared" si="16"/>
        <v/>
      </c>
      <c r="J331" s="12" t="str">
        <f t="shared" si="17"/>
        <v/>
      </c>
      <c r="K331" s="12" t="str">
        <f>IFERROR((E331 - VLOOKUP(C331, 'Stock Entry'!B:E, 4, FALSE)) * D331, "")</f>
        <v/>
      </c>
    </row>
    <row r="332" spans="7:11" x14ac:dyDescent="0.25">
      <c r="G332" s="12" t="str">
        <f t="shared" si="15"/>
        <v/>
      </c>
      <c r="I332" s="12" t="str">
        <f t="shared" si="16"/>
        <v/>
      </c>
      <c r="J332" s="12" t="str">
        <f t="shared" si="17"/>
        <v/>
      </c>
      <c r="K332" s="12" t="str">
        <f>IFERROR((E332 - VLOOKUP(C332, 'Stock Entry'!B:E, 4, FALSE)) * D332, "")</f>
        <v/>
      </c>
    </row>
    <row r="333" spans="7:11" x14ac:dyDescent="0.25">
      <c r="G333" s="12" t="str">
        <f t="shared" si="15"/>
        <v/>
      </c>
      <c r="I333" s="12" t="str">
        <f t="shared" si="16"/>
        <v/>
      </c>
      <c r="J333" s="12" t="str">
        <f t="shared" si="17"/>
        <v/>
      </c>
      <c r="K333" s="12" t="str">
        <f>IFERROR((E333 - VLOOKUP(C333, 'Stock Entry'!B:E, 4, FALSE)) * D333, "")</f>
        <v/>
      </c>
    </row>
    <row r="334" spans="7:11" x14ac:dyDescent="0.25">
      <c r="G334" s="12" t="str">
        <f t="shared" si="15"/>
        <v/>
      </c>
      <c r="I334" s="12" t="str">
        <f t="shared" si="16"/>
        <v/>
      </c>
      <c r="J334" s="12" t="str">
        <f t="shared" si="17"/>
        <v/>
      </c>
      <c r="K334" s="12" t="str">
        <f>IFERROR((E334 - VLOOKUP(C334, 'Stock Entry'!B:E, 4, FALSE)) * D334, "")</f>
        <v/>
      </c>
    </row>
    <row r="335" spans="7:11" x14ac:dyDescent="0.25">
      <c r="G335" s="12" t="str">
        <f t="shared" si="15"/>
        <v/>
      </c>
      <c r="I335" s="12" t="str">
        <f t="shared" si="16"/>
        <v/>
      </c>
      <c r="J335" s="12" t="str">
        <f t="shared" si="17"/>
        <v/>
      </c>
      <c r="K335" s="12" t="str">
        <f>IFERROR((E335 - VLOOKUP(C335, 'Stock Entry'!B:E, 4, FALSE)) * D335, "")</f>
        <v/>
      </c>
    </row>
    <row r="336" spans="7:11" x14ac:dyDescent="0.25">
      <c r="G336" s="12" t="str">
        <f t="shared" si="15"/>
        <v/>
      </c>
      <c r="I336" s="12" t="str">
        <f t="shared" si="16"/>
        <v/>
      </c>
      <c r="J336" s="12" t="str">
        <f t="shared" si="17"/>
        <v/>
      </c>
      <c r="K336" s="12" t="str">
        <f>IFERROR((E336 - VLOOKUP(C336, 'Stock Entry'!B:E, 4, FALSE)) * D336, "")</f>
        <v/>
      </c>
    </row>
    <row r="337" spans="7:11" x14ac:dyDescent="0.25">
      <c r="G337" s="12" t="str">
        <f t="shared" si="15"/>
        <v/>
      </c>
      <c r="I337" s="12" t="str">
        <f t="shared" si="16"/>
        <v/>
      </c>
      <c r="J337" s="12" t="str">
        <f t="shared" si="17"/>
        <v/>
      </c>
      <c r="K337" s="12" t="str">
        <f>IFERROR((E337 - VLOOKUP(C337, 'Stock Entry'!B:E, 4, FALSE)) * D337, "")</f>
        <v/>
      </c>
    </row>
    <row r="338" spans="7:11" x14ac:dyDescent="0.25">
      <c r="G338" s="12" t="str">
        <f t="shared" si="15"/>
        <v/>
      </c>
      <c r="I338" s="12" t="str">
        <f t="shared" si="16"/>
        <v/>
      </c>
      <c r="J338" s="12" t="str">
        <f t="shared" si="17"/>
        <v/>
      </c>
      <c r="K338" s="12" t="str">
        <f>IFERROR((E338 - VLOOKUP(C338, 'Stock Entry'!B:E, 4, FALSE)) * D338, "")</f>
        <v/>
      </c>
    </row>
    <row r="339" spans="7:11" x14ac:dyDescent="0.25">
      <c r="G339" s="12" t="str">
        <f t="shared" si="15"/>
        <v/>
      </c>
      <c r="I339" s="12" t="str">
        <f t="shared" si="16"/>
        <v/>
      </c>
      <c r="J339" s="12" t="str">
        <f t="shared" si="17"/>
        <v/>
      </c>
      <c r="K339" s="12" t="str">
        <f>IFERROR((E339 - VLOOKUP(C339, 'Stock Entry'!B:E, 4, FALSE)) * D339, "")</f>
        <v/>
      </c>
    </row>
    <row r="340" spans="7:11" x14ac:dyDescent="0.25">
      <c r="G340" s="12" t="str">
        <f t="shared" si="15"/>
        <v/>
      </c>
      <c r="I340" s="12" t="str">
        <f t="shared" si="16"/>
        <v/>
      </c>
      <c r="J340" s="12" t="str">
        <f t="shared" si="17"/>
        <v/>
      </c>
      <c r="K340" s="12" t="str">
        <f>IFERROR((E340 - VLOOKUP(C340, 'Stock Entry'!B:E, 4, FALSE)) * D340, "")</f>
        <v/>
      </c>
    </row>
    <row r="341" spans="7:11" x14ac:dyDescent="0.25">
      <c r="G341" s="12" t="str">
        <f t="shared" si="15"/>
        <v/>
      </c>
      <c r="I341" s="12" t="str">
        <f t="shared" si="16"/>
        <v/>
      </c>
      <c r="J341" s="12" t="str">
        <f t="shared" si="17"/>
        <v/>
      </c>
      <c r="K341" s="12" t="str">
        <f>IFERROR((E341 - VLOOKUP(C341, 'Stock Entry'!B:E, 4, FALSE)) * D341, "")</f>
        <v/>
      </c>
    </row>
    <row r="342" spans="7:11" x14ac:dyDescent="0.25">
      <c r="G342" s="12" t="str">
        <f t="shared" si="15"/>
        <v/>
      </c>
      <c r="I342" s="12" t="str">
        <f t="shared" si="16"/>
        <v/>
      </c>
      <c r="J342" s="12" t="str">
        <f t="shared" si="17"/>
        <v/>
      </c>
      <c r="K342" s="12" t="str">
        <f>IFERROR((E342 - VLOOKUP(C342, 'Stock Entry'!B:E, 4, FALSE)) * D342, "")</f>
        <v/>
      </c>
    </row>
    <row r="343" spans="7:11" x14ac:dyDescent="0.25">
      <c r="G343" s="12" t="str">
        <f t="shared" si="15"/>
        <v/>
      </c>
      <c r="I343" s="12" t="str">
        <f t="shared" si="16"/>
        <v/>
      </c>
      <c r="J343" s="12" t="str">
        <f t="shared" si="17"/>
        <v/>
      </c>
      <c r="K343" s="12" t="str">
        <f>IFERROR((E343 - VLOOKUP(C343, 'Stock Entry'!B:E, 4, FALSE)) * D343, "")</f>
        <v/>
      </c>
    </row>
    <row r="344" spans="7:11" x14ac:dyDescent="0.25">
      <c r="G344" s="12" t="str">
        <f t="shared" si="15"/>
        <v/>
      </c>
      <c r="I344" s="12" t="str">
        <f t="shared" si="16"/>
        <v/>
      </c>
      <c r="J344" s="12" t="str">
        <f t="shared" si="17"/>
        <v/>
      </c>
      <c r="K344" s="12" t="str">
        <f>IFERROR((E344 - VLOOKUP(C344, 'Stock Entry'!B:E, 4, FALSE)) * D344, "")</f>
        <v/>
      </c>
    </row>
    <row r="345" spans="7:11" x14ac:dyDescent="0.25">
      <c r="G345" s="12" t="str">
        <f t="shared" si="15"/>
        <v/>
      </c>
      <c r="I345" s="12" t="str">
        <f t="shared" si="16"/>
        <v/>
      </c>
      <c r="J345" s="12" t="str">
        <f t="shared" si="17"/>
        <v/>
      </c>
      <c r="K345" s="12" t="str">
        <f>IFERROR((E345 - VLOOKUP(C345, 'Stock Entry'!B:E, 4, FALSE)) * D345, "")</f>
        <v/>
      </c>
    </row>
    <row r="346" spans="7:11" x14ac:dyDescent="0.25">
      <c r="G346" s="12" t="str">
        <f t="shared" si="15"/>
        <v/>
      </c>
      <c r="I346" s="12" t="str">
        <f t="shared" si="16"/>
        <v/>
      </c>
      <c r="J346" s="12" t="str">
        <f t="shared" si="17"/>
        <v/>
      </c>
      <c r="K346" s="12" t="str">
        <f>IFERROR((E346 - VLOOKUP(C346, 'Stock Entry'!B:E, 4, FALSE)) * D346, "")</f>
        <v/>
      </c>
    </row>
    <row r="347" spans="7:11" x14ac:dyDescent="0.25">
      <c r="G347" s="12" t="str">
        <f t="shared" si="15"/>
        <v/>
      </c>
      <c r="I347" s="12" t="str">
        <f t="shared" si="16"/>
        <v/>
      </c>
      <c r="J347" s="12" t="str">
        <f t="shared" si="17"/>
        <v/>
      </c>
      <c r="K347" s="12" t="str">
        <f>IFERROR((E347 - VLOOKUP(C347, 'Stock Entry'!B:E, 4, FALSE)) * D347, "")</f>
        <v/>
      </c>
    </row>
    <row r="348" spans="7:11" x14ac:dyDescent="0.25">
      <c r="G348" s="12" t="str">
        <f t="shared" si="15"/>
        <v/>
      </c>
      <c r="I348" s="12" t="str">
        <f t="shared" si="16"/>
        <v/>
      </c>
      <c r="J348" s="12" t="str">
        <f t="shared" si="17"/>
        <v/>
      </c>
      <c r="K348" s="12" t="str">
        <f>IFERROR((E348 - VLOOKUP(C348, 'Stock Entry'!B:E, 4, FALSE)) * D348, "")</f>
        <v/>
      </c>
    </row>
    <row r="349" spans="7:11" x14ac:dyDescent="0.25">
      <c r="G349" s="12" t="str">
        <f t="shared" si="15"/>
        <v/>
      </c>
      <c r="I349" s="12" t="str">
        <f t="shared" si="16"/>
        <v/>
      </c>
      <c r="J349" s="12" t="str">
        <f t="shared" si="17"/>
        <v/>
      </c>
      <c r="K349" s="12" t="str">
        <f>IFERROR((E349 - VLOOKUP(C349, 'Stock Entry'!B:E, 4, FALSE)) * D349, "")</f>
        <v/>
      </c>
    </row>
    <row r="350" spans="7:11" x14ac:dyDescent="0.25">
      <c r="G350" s="12" t="str">
        <f t="shared" si="15"/>
        <v/>
      </c>
      <c r="I350" s="12" t="str">
        <f t="shared" si="16"/>
        <v/>
      </c>
      <c r="J350" s="12" t="str">
        <f t="shared" si="17"/>
        <v/>
      </c>
      <c r="K350" s="12" t="str">
        <f>IFERROR((E350 - VLOOKUP(C350, 'Stock Entry'!B:E, 4, FALSE)) * D350, "")</f>
        <v/>
      </c>
    </row>
    <row r="351" spans="7:11" x14ac:dyDescent="0.25">
      <c r="G351" s="12" t="str">
        <f t="shared" si="15"/>
        <v/>
      </c>
      <c r="I351" s="12" t="str">
        <f t="shared" si="16"/>
        <v/>
      </c>
      <c r="J351" s="12" t="str">
        <f t="shared" si="17"/>
        <v/>
      </c>
      <c r="K351" s="12" t="str">
        <f>IFERROR((E351 - VLOOKUP(C351, 'Stock Entry'!B:E, 4, FALSE)) * D351, "")</f>
        <v/>
      </c>
    </row>
    <row r="352" spans="7:11" x14ac:dyDescent="0.25">
      <c r="G352" s="12" t="str">
        <f t="shared" si="15"/>
        <v/>
      </c>
      <c r="I352" s="12" t="str">
        <f t="shared" si="16"/>
        <v/>
      </c>
      <c r="J352" s="12" t="str">
        <f t="shared" si="17"/>
        <v/>
      </c>
      <c r="K352" s="12" t="str">
        <f>IFERROR((E352 - VLOOKUP(C352, 'Stock Entry'!B:E, 4, FALSE)) * D352, "")</f>
        <v/>
      </c>
    </row>
    <row r="353" spans="7:11" x14ac:dyDescent="0.25">
      <c r="G353" s="12" t="str">
        <f t="shared" si="15"/>
        <v/>
      </c>
      <c r="I353" s="12" t="str">
        <f t="shared" si="16"/>
        <v/>
      </c>
      <c r="J353" s="12" t="str">
        <f t="shared" si="17"/>
        <v/>
      </c>
      <c r="K353" s="12" t="str">
        <f>IFERROR((E353 - VLOOKUP(C353, 'Stock Entry'!B:E, 4, FALSE)) * D353, "")</f>
        <v/>
      </c>
    </row>
    <row r="354" spans="7:11" x14ac:dyDescent="0.25">
      <c r="G354" s="12" t="str">
        <f t="shared" si="15"/>
        <v/>
      </c>
      <c r="I354" s="12" t="str">
        <f t="shared" si="16"/>
        <v/>
      </c>
      <c r="J354" s="12" t="str">
        <f t="shared" si="17"/>
        <v/>
      </c>
      <c r="K354" s="12" t="str">
        <f>IFERROR((E354 - VLOOKUP(C354, 'Stock Entry'!B:E, 4, FALSE)) * D354, "")</f>
        <v/>
      </c>
    </row>
    <row r="355" spans="7:11" x14ac:dyDescent="0.25">
      <c r="G355" s="12" t="str">
        <f t="shared" si="15"/>
        <v/>
      </c>
      <c r="I355" s="12" t="str">
        <f t="shared" si="16"/>
        <v/>
      </c>
      <c r="J355" s="12" t="str">
        <f t="shared" si="17"/>
        <v/>
      </c>
      <c r="K355" s="12" t="str">
        <f>IFERROR((E355 - VLOOKUP(C355, 'Stock Entry'!B:E, 4, FALSE)) * D355, "")</f>
        <v/>
      </c>
    </row>
    <row r="356" spans="7:11" x14ac:dyDescent="0.25">
      <c r="G356" s="12" t="str">
        <f t="shared" si="15"/>
        <v/>
      </c>
      <c r="I356" s="12" t="str">
        <f t="shared" si="16"/>
        <v/>
      </c>
      <c r="J356" s="12" t="str">
        <f t="shared" si="17"/>
        <v/>
      </c>
      <c r="K356" s="12" t="str">
        <f>IFERROR((E356 - VLOOKUP(C356, 'Stock Entry'!B:E, 4, FALSE)) * D356, "")</f>
        <v/>
      </c>
    </row>
    <row r="357" spans="7:11" x14ac:dyDescent="0.25">
      <c r="G357" s="12" t="str">
        <f t="shared" si="15"/>
        <v/>
      </c>
      <c r="I357" s="12" t="str">
        <f t="shared" si="16"/>
        <v/>
      </c>
      <c r="J357" s="12" t="str">
        <f t="shared" si="17"/>
        <v/>
      </c>
      <c r="K357" s="12" t="str">
        <f>IFERROR((E357 - VLOOKUP(C357, 'Stock Entry'!B:E, 4, FALSE)) * D357, "")</f>
        <v/>
      </c>
    </row>
    <row r="358" spans="7:11" x14ac:dyDescent="0.25">
      <c r="G358" s="12" t="str">
        <f t="shared" si="15"/>
        <v/>
      </c>
      <c r="I358" s="12" t="str">
        <f t="shared" si="16"/>
        <v/>
      </c>
      <c r="J358" s="12" t="str">
        <f t="shared" si="17"/>
        <v/>
      </c>
      <c r="K358" s="12" t="str">
        <f>IFERROR((E358 - VLOOKUP(C358, 'Stock Entry'!B:E, 4, FALSE)) * D358, "")</f>
        <v/>
      </c>
    </row>
    <row r="359" spans="7:11" x14ac:dyDescent="0.25">
      <c r="G359" s="12" t="str">
        <f t="shared" si="15"/>
        <v/>
      </c>
      <c r="I359" s="12" t="str">
        <f t="shared" si="16"/>
        <v/>
      </c>
      <c r="J359" s="12" t="str">
        <f t="shared" si="17"/>
        <v/>
      </c>
      <c r="K359" s="12" t="str">
        <f>IFERROR((E359 - VLOOKUP(C359, 'Stock Entry'!B:E, 4, FALSE)) * D359, "")</f>
        <v/>
      </c>
    </row>
    <row r="360" spans="7:11" x14ac:dyDescent="0.25">
      <c r="G360" s="12" t="str">
        <f t="shared" si="15"/>
        <v/>
      </c>
      <c r="I360" s="12" t="str">
        <f t="shared" si="16"/>
        <v/>
      </c>
      <c r="J360" s="12" t="str">
        <f t="shared" si="17"/>
        <v/>
      </c>
      <c r="K360" s="12" t="str">
        <f>IFERROR((E360 - VLOOKUP(C360, 'Stock Entry'!B:E, 4, FALSE)) * D360, "")</f>
        <v/>
      </c>
    </row>
    <row r="361" spans="7:11" x14ac:dyDescent="0.25">
      <c r="G361" s="12" t="str">
        <f t="shared" si="15"/>
        <v/>
      </c>
      <c r="I361" s="12" t="str">
        <f t="shared" si="16"/>
        <v/>
      </c>
      <c r="J361" s="12" t="str">
        <f t="shared" si="17"/>
        <v/>
      </c>
      <c r="K361" s="12" t="str">
        <f>IFERROR((E361 - VLOOKUP(C361, 'Stock Entry'!B:E, 4, FALSE)) * D361, "")</f>
        <v/>
      </c>
    </row>
    <row r="362" spans="7:11" x14ac:dyDescent="0.25">
      <c r="G362" s="12" t="str">
        <f t="shared" si="15"/>
        <v/>
      </c>
      <c r="I362" s="12" t="str">
        <f t="shared" si="16"/>
        <v/>
      </c>
      <c r="J362" s="12" t="str">
        <f t="shared" si="17"/>
        <v/>
      </c>
      <c r="K362" s="12" t="str">
        <f>IFERROR((E362 - VLOOKUP(C362, 'Stock Entry'!B:E, 4, FALSE)) * D362, "")</f>
        <v/>
      </c>
    </row>
    <row r="363" spans="7:11" x14ac:dyDescent="0.25">
      <c r="G363" s="12" t="str">
        <f t="shared" si="15"/>
        <v/>
      </c>
      <c r="I363" s="12" t="str">
        <f t="shared" si="16"/>
        <v/>
      </c>
      <c r="J363" s="12" t="str">
        <f t="shared" si="17"/>
        <v/>
      </c>
      <c r="K363" s="12" t="str">
        <f>IFERROR((E363 - VLOOKUP(C363, 'Stock Entry'!B:E, 4, FALSE)) * D363, "")</f>
        <v/>
      </c>
    </row>
    <row r="364" spans="7:11" x14ac:dyDescent="0.25">
      <c r="G364" s="12" t="str">
        <f t="shared" si="15"/>
        <v/>
      </c>
      <c r="I364" s="12" t="str">
        <f t="shared" si="16"/>
        <v/>
      </c>
      <c r="J364" s="12" t="str">
        <f t="shared" si="17"/>
        <v/>
      </c>
      <c r="K364" s="12" t="str">
        <f>IFERROR((E364 - VLOOKUP(C364, 'Stock Entry'!B:E, 4, FALSE)) * D364, "")</f>
        <v/>
      </c>
    </row>
    <row r="365" spans="7:11" x14ac:dyDescent="0.25">
      <c r="G365" s="12" t="str">
        <f t="shared" si="15"/>
        <v/>
      </c>
      <c r="I365" s="12" t="str">
        <f t="shared" si="16"/>
        <v/>
      </c>
      <c r="J365" s="12" t="str">
        <f t="shared" si="17"/>
        <v/>
      </c>
      <c r="K365" s="12" t="str">
        <f>IFERROR((E365 - VLOOKUP(C365, 'Stock Entry'!B:E, 4, FALSE)) * D365, "")</f>
        <v/>
      </c>
    </row>
    <row r="366" spans="7:11" x14ac:dyDescent="0.25">
      <c r="G366" s="12" t="str">
        <f t="shared" si="15"/>
        <v/>
      </c>
      <c r="I366" s="12" t="str">
        <f t="shared" si="16"/>
        <v/>
      </c>
      <c r="J366" s="12" t="str">
        <f t="shared" si="17"/>
        <v/>
      </c>
      <c r="K366" s="12" t="str">
        <f>IFERROR((E366 - VLOOKUP(C366, 'Stock Entry'!B:E, 4, FALSE)) * D366, "")</f>
        <v/>
      </c>
    </row>
    <row r="367" spans="7:11" x14ac:dyDescent="0.25">
      <c r="G367" s="12" t="str">
        <f t="shared" si="15"/>
        <v/>
      </c>
      <c r="I367" s="12" t="str">
        <f t="shared" si="16"/>
        <v/>
      </c>
      <c r="J367" s="12" t="str">
        <f t="shared" si="17"/>
        <v/>
      </c>
      <c r="K367" s="12" t="str">
        <f>IFERROR((E367 - VLOOKUP(C367, 'Stock Entry'!B:E, 4, FALSE)) * D367, "")</f>
        <v/>
      </c>
    </row>
    <row r="368" spans="7:11" x14ac:dyDescent="0.25">
      <c r="G368" s="12" t="str">
        <f t="shared" si="15"/>
        <v/>
      </c>
      <c r="I368" s="12" t="str">
        <f t="shared" si="16"/>
        <v/>
      </c>
      <c r="J368" s="12" t="str">
        <f t="shared" si="17"/>
        <v/>
      </c>
      <c r="K368" s="12" t="str">
        <f>IFERROR((E368 - VLOOKUP(C368, 'Stock Entry'!B:E, 4, FALSE)) * D368, "")</f>
        <v/>
      </c>
    </row>
    <row r="369" spans="7:11" x14ac:dyDescent="0.25">
      <c r="G369" s="12" t="str">
        <f t="shared" si="15"/>
        <v/>
      </c>
      <c r="I369" s="12" t="str">
        <f t="shared" si="16"/>
        <v/>
      </c>
      <c r="J369" s="12" t="str">
        <f t="shared" si="17"/>
        <v/>
      </c>
      <c r="K369" s="12" t="str">
        <f>IFERROR((E369 - VLOOKUP(C369, 'Stock Entry'!B:E, 4, FALSE)) * D369, "")</f>
        <v/>
      </c>
    </row>
    <row r="370" spans="7:11" x14ac:dyDescent="0.25">
      <c r="G370" s="12" t="str">
        <f t="shared" si="15"/>
        <v/>
      </c>
      <c r="I370" s="12" t="str">
        <f t="shared" si="16"/>
        <v/>
      </c>
      <c r="J370" s="12" t="str">
        <f t="shared" si="17"/>
        <v/>
      </c>
      <c r="K370" s="12" t="str">
        <f>IFERROR((E370 - VLOOKUP(C370, 'Stock Entry'!B:E, 4, FALSE)) * D370, "")</f>
        <v/>
      </c>
    </row>
    <row r="371" spans="7:11" x14ac:dyDescent="0.25">
      <c r="G371" s="12" t="str">
        <f t="shared" si="15"/>
        <v/>
      </c>
      <c r="I371" s="12" t="str">
        <f t="shared" si="16"/>
        <v/>
      </c>
      <c r="J371" s="12" t="str">
        <f t="shared" si="17"/>
        <v/>
      </c>
      <c r="K371" s="12" t="str">
        <f>IFERROR((E371 - VLOOKUP(C371, 'Stock Entry'!B:E, 4, FALSE)) * D371, "")</f>
        <v/>
      </c>
    </row>
    <row r="372" spans="7:11" x14ac:dyDescent="0.25">
      <c r="G372" s="12" t="str">
        <f t="shared" si="15"/>
        <v/>
      </c>
      <c r="I372" s="12" t="str">
        <f t="shared" si="16"/>
        <v/>
      </c>
      <c r="J372" s="12" t="str">
        <f t="shared" si="17"/>
        <v/>
      </c>
      <c r="K372" s="12" t="str">
        <f>IFERROR((E372 - VLOOKUP(C372, 'Stock Entry'!B:E, 4, FALSE)) * D372, "")</f>
        <v/>
      </c>
    </row>
    <row r="373" spans="7:11" x14ac:dyDescent="0.25">
      <c r="G373" s="12" t="str">
        <f t="shared" si="15"/>
        <v/>
      </c>
      <c r="I373" s="12" t="str">
        <f t="shared" si="16"/>
        <v/>
      </c>
      <c r="J373" s="12" t="str">
        <f t="shared" si="17"/>
        <v/>
      </c>
      <c r="K373" s="12" t="str">
        <f>IFERROR((E373 - VLOOKUP(C373, 'Stock Entry'!B:E, 4, FALSE)) * D373, "")</f>
        <v/>
      </c>
    </row>
    <row r="374" spans="7:11" x14ac:dyDescent="0.25">
      <c r="G374" s="12" t="str">
        <f t="shared" si="15"/>
        <v/>
      </c>
      <c r="I374" s="12" t="str">
        <f t="shared" si="16"/>
        <v/>
      </c>
      <c r="J374" s="12" t="str">
        <f t="shared" si="17"/>
        <v/>
      </c>
      <c r="K374" s="12" t="str">
        <f>IFERROR((E374 - VLOOKUP(C374, 'Stock Entry'!B:E, 4, FALSE)) * D374, "")</f>
        <v/>
      </c>
    </row>
    <row r="375" spans="7:11" x14ac:dyDescent="0.25">
      <c r="G375" s="12" t="str">
        <f t="shared" si="15"/>
        <v/>
      </c>
      <c r="I375" s="12" t="str">
        <f t="shared" si="16"/>
        <v/>
      </c>
      <c r="J375" s="12" t="str">
        <f t="shared" si="17"/>
        <v/>
      </c>
      <c r="K375" s="12" t="str">
        <f>IFERROR((E375 - VLOOKUP(C375, 'Stock Entry'!B:E, 4, FALSE)) * D375, "")</f>
        <v/>
      </c>
    </row>
    <row r="376" spans="7:11" x14ac:dyDescent="0.25">
      <c r="G376" s="12" t="str">
        <f t="shared" si="15"/>
        <v/>
      </c>
      <c r="I376" s="12" t="str">
        <f t="shared" si="16"/>
        <v/>
      </c>
      <c r="J376" s="12" t="str">
        <f t="shared" si="17"/>
        <v/>
      </c>
      <c r="K376" s="12" t="str">
        <f>IFERROR((E376 - VLOOKUP(C376, 'Stock Entry'!B:E, 4, FALSE)) * D376, "")</f>
        <v/>
      </c>
    </row>
    <row r="377" spans="7:11" x14ac:dyDescent="0.25">
      <c r="G377" s="12" t="str">
        <f t="shared" si="15"/>
        <v/>
      </c>
      <c r="I377" s="12" t="str">
        <f t="shared" si="16"/>
        <v/>
      </c>
      <c r="J377" s="12" t="str">
        <f t="shared" si="17"/>
        <v/>
      </c>
      <c r="K377" s="12" t="str">
        <f>IFERROR((E377 - VLOOKUP(C377, 'Stock Entry'!B:E, 4, FALSE)) * D377, "")</f>
        <v/>
      </c>
    </row>
    <row r="378" spans="7:11" x14ac:dyDescent="0.25">
      <c r="G378" s="12" t="str">
        <f t="shared" si="15"/>
        <v/>
      </c>
      <c r="I378" s="12" t="str">
        <f t="shared" si="16"/>
        <v/>
      </c>
      <c r="J378" s="12" t="str">
        <f t="shared" si="17"/>
        <v/>
      </c>
      <c r="K378" s="12" t="str">
        <f>IFERROR((E378 - VLOOKUP(C378, 'Stock Entry'!B:E, 4, FALSE)) * D378, "")</f>
        <v/>
      </c>
    </row>
    <row r="379" spans="7:11" x14ac:dyDescent="0.25">
      <c r="G379" s="12" t="str">
        <f t="shared" si="15"/>
        <v/>
      </c>
      <c r="I379" s="12" t="str">
        <f t="shared" si="16"/>
        <v/>
      </c>
      <c r="J379" s="12" t="str">
        <f t="shared" si="17"/>
        <v/>
      </c>
      <c r="K379" s="12" t="str">
        <f>IFERROR((E379 - VLOOKUP(C379, 'Stock Entry'!B:E, 4, FALSE)) * D379, "")</f>
        <v/>
      </c>
    </row>
    <row r="380" spans="7:11" x14ac:dyDescent="0.25">
      <c r="G380" s="12" t="str">
        <f t="shared" si="15"/>
        <v/>
      </c>
      <c r="I380" s="12" t="str">
        <f t="shared" si="16"/>
        <v/>
      </c>
      <c r="J380" s="12" t="str">
        <f t="shared" si="17"/>
        <v/>
      </c>
      <c r="K380" s="12" t="str">
        <f>IFERROR((E380 - VLOOKUP(C380, 'Stock Entry'!B:E, 4, FALSE)) * D380, "")</f>
        <v/>
      </c>
    </row>
    <row r="381" spans="7:11" x14ac:dyDescent="0.25">
      <c r="G381" s="12" t="str">
        <f t="shared" si="15"/>
        <v/>
      </c>
      <c r="I381" s="12" t="str">
        <f t="shared" si="16"/>
        <v/>
      </c>
      <c r="J381" s="12" t="str">
        <f t="shared" si="17"/>
        <v/>
      </c>
      <c r="K381" s="12" t="str">
        <f>IFERROR((E381 - VLOOKUP(C381, 'Stock Entry'!B:E, 4, FALSE)) * D381, "")</f>
        <v/>
      </c>
    </row>
    <row r="382" spans="7:11" x14ac:dyDescent="0.25">
      <c r="G382" s="12" t="str">
        <f t="shared" si="15"/>
        <v/>
      </c>
      <c r="I382" s="12" t="str">
        <f t="shared" si="16"/>
        <v/>
      </c>
      <c r="J382" s="12" t="str">
        <f t="shared" si="17"/>
        <v/>
      </c>
      <c r="K382" s="12" t="str">
        <f>IFERROR((E382 - VLOOKUP(C382, 'Stock Entry'!B:E, 4, FALSE)) * D382, "")</f>
        <v/>
      </c>
    </row>
    <row r="383" spans="7:11" x14ac:dyDescent="0.25">
      <c r="G383" s="12" t="str">
        <f t="shared" si="15"/>
        <v/>
      </c>
      <c r="I383" s="12" t="str">
        <f t="shared" si="16"/>
        <v/>
      </c>
      <c r="J383" s="12" t="str">
        <f t="shared" si="17"/>
        <v/>
      </c>
      <c r="K383" s="12" t="str">
        <f>IFERROR((E383 - VLOOKUP(C383, 'Stock Entry'!B:E, 4, FALSE)) * D383, "")</f>
        <v/>
      </c>
    </row>
    <row r="384" spans="7:11" x14ac:dyDescent="0.25">
      <c r="G384" s="12" t="str">
        <f t="shared" si="15"/>
        <v/>
      </c>
      <c r="I384" s="12" t="str">
        <f t="shared" si="16"/>
        <v/>
      </c>
      <c r="J384" s="12" t="str">
        <f t="shared" si="17"/>
        <v/>
      </c>
      <c r="K384" s="12" t="str">
        <f>IFERROR((E384 - VLOOKUP(C384, 'Stock Entry'!B:E, 4, FALSE)) * D384, "")</f>
        <v/>
      </c>
    </row>
    <row r="385" spans="7:11" x14ac:dyDescent="0.25">
      <c r="G385" s="12" t="str">
        <f t="shared" si="15"/>
        <v/>
      </c>
      <c r="I385" s="12" t="str">
        <f t="shared" si="16"/>
        <v/>
      </c>
      <c r="J385" s="12" t="str">
        <f t="shared" si="17"/>
        <v/>
      </c>
      <c r="K385" s="12" t="str">
        <f>IFERROR((E385 - VLOOKUP(C385, 'Stock Entry'!B:E, 4, FALSE)) * D385, "")</f>
        <v/>
      </c>
    </row>
    <row r="386" spans="7:11" x14ac:dyDescent="0.25">
      <c r="G386" s="12" t="str">
        <f t="shared" si="15"/>
        <v/>
      </c>
      <c r="I386" s="12" t="str">
        <f t="shared" si="16"/>
        <v/>
      </c>
      <c r="J386" s="12" t="str">
        <f t="shared" si="17"/>
        <v/>
      </c>
      <c r="K386" s="12" t="str">
        <f>IFERROR((E386 - VLOOKUP(C386, 'Stock Entry'!B:E, 4, FALSE)) * D386, "")</f>
        <v/>
      </c>
    </row>
    <row r="387" spans="7:11" x14ac:dyDescent="0.25">
      <c r="G387" s="12" t="str">
        <f t="shared" ref="G387:G450" si="18">IF(F387="Full Cash", D387*E387, "")</f>
        <v/>
      </c>
      <c r="I387" s="12" t="str">
        <f t="shared" ref="I387:I450" si="19">IF(F387="Full Credit",D387*E387,IF(F387="Partly Payment",(D387*E387)-H387,""))</f>
        <v/>
      </c>
      <c r="J387" s="12" t="str">
        <f t="shared" ref="J387:J450" si="20">IF(F387="Full Cash", G387, IF(F387="Full Credit", I387, IF(F387="Partly Payment", H387+I387, "")))</f>
        <v/>
      </c>
      <c r="K387" s="12" t="str">
        <f>IFERROR((E387 - VLOOKUP(C387, 'Stock Entry'!B:E, 4, FALSE)) * D387, "")</f>
        <v/>
      </c>
    </row>
    <row r="388" spans="7:11" x14ac:dyDescent="0.25">
      <c r="G388" s="12" t="str">
        <f t="shared" si="18"/>
        <v/>
      </c>
      <c r="I388" s="12" t="str">
        <f t="shared" si="19"/>
        <v/>
      </c>
      <c r="J388" s="12" t="str">
        <f t="shared" si="20"/>
        <v/>
      </c>
      <c r="K388" s="12" t="str">
        <f>IFERROR((E388 - VLOOKUP(C388, 'Stock Entry'!B:E, 4, FALSE)) * D388, "")</f>
        <v/>
      </c>
    </row>
    <row r="389" spans="7:11" x14ac:dyDescent="0.25">
      <c r="G389" s="12" t="str">
        <f t="shared" si="18"/>
        <v/>
      </c>
      <c r="I389" s="12" t="str">
        <f t="shared" si="19"/>
        <v/>
      </c>
      <c r="J389" s="12" t="str">
        <f t="shared" si="20"/>
        <v/>
      </c>
      <c r="K389" s="12" t="str">
        <f>IFERROR((E389 - VLOOKUP(C389, 'Stock Entry'!B:E, 4, FALSE)) * D389, "")</f>
        <v/>
      </c>
    </row>
    <row r="390" spans="7:11" x14ac:dyDescent="0.25">
      <c r="G390" s="12" t="str">
        <f t="shared" si="18"/>
        <v/>
      </c>
      <c r="I390" s="12" t="str">
        <f t="shared" si="19"/>
        <v/>
      </c>
      <c r="J390" s="12" t="str">
        <f t="shared" si="20"/>
        <v/>
      </c>
      <c r="K390" s="12" t="str">
        <f>IFERROR((E390 - VLOOKUP(C390, 'Stock Entry'!B:E, 4, FALSE)) * D390, "")</f>
        <v/>
      </c>
    </row>
    <row r="391" spans="7:11" x14ac:dyDescent="0.25">
      <c r="G391" s="12" t="str">
        <f t="shared" si="18"/>
        <v/>
      </c>
      <c r="I391" s="12" t="str">
        <f t="shared" si="19"/>
        <v/>
      </c>
      <c r="J391" s="12" t="str">
        <f t="shared" si="20"/>
        <v/>
      </c>
      <c r="K391" s="12" t="str">
        <f>IFERROR((E391 - VLOOKUP(C391, 'Stock Entry'!B:E, 4, FALSE)) * D391, "")</f>
        <v/>
      </c>
    </row>
    <row r="392" spans="7:11" x14ac:dyDescent="0.25">
      <c r="G392" s="12" t="str">
        <f t="shared" si="18"/>
        <v/>
      </c>
      <c r="I392" s="12" t="str">
        <f t="shared" si="19"/>
        <v/>
      </c>
      <c r="J392" s="12" t="str">
        <f t="shared" si="20"/>
        <v/>
      </c>
      <c r="K392" s="12" t="str">
        <f>IFERROR((E392 - VLOOKUP(C392, 'Stock Entry'!B:E, 4, FALSE)) * D392, "")</f>
        <v/>
      </c>
    </row>
    <row r="393" spans="7:11" x14ac:dyDescent="0.25">
      <c r="G393" s="12" t="str">
        <f t="shared" si="18"/>
        <v/>
      </c>
      <c r="I393" s="12" t="str">
        <f t="shared" si="19"/>
        <v/>
      </c>
      <c r="J393" s="12" t="str">
        <f t="shared" si="20"/>
        <v/>
      </c>
      <c r="K393" s="12" t="str">
        <f>IFERROR((E393 - VLOOKUP(C393, 'Stock Entry'!B:E, 4, FALSE)) * D393, "")</f>
        <v/>
      </c>
    </row>
    <row r="394" spans="7:11" x14ac:dyDescent="0.25">
      <c r="G394" s="12" t="str">
        <f t="shared" si="18"/>
        <v/>
      </c>
      <c r="I394" s="12" t="str">
        <f t="shared" si="19"/>
        <v/>
      </c>
      <c r="J394" s="12" t="str">
        <f t="shared" si="20"/>
        <v/>
      </c>
      <c r="K394" s="12" t="str">
        <f>IFERROR((E394 - VLOOKUP(C394, 'Stock Entry'!B:E, 4, FALSE)) * D394, "")</f>
        <v/>
      </c>
    </row>
    <row r="395" spans="7:11" x14ac:dyDescent="0.25">
      <c r="G395" s="12" t="str">
        <f t="shared" si="18"/>
        <v/>
      </c>
      <c r="I395" s="12" t="str">
        <f t="shared" si="19"/>
        <v/>
      </c>
      <c r="J395" s="12" t="str">
        <f t="shared" si="20"/>
        <v/>
      </c>
      <c r="K395" s="12" t="str">
        <f>IFERROR((E395 - VLOOKUP(C395, 'Stock Entry'!B:E, 4, FALSE)) * D395, "")</f>
        <v/>
      </c>
    </row>
    <row r="396" spans="7:11" x14ac:dyDescent="0.25">
      <c r="G396" s="12" t="str">
        <f t="shared" si="18"/>
        <v/>
      </c>
      <c r="I396" s="12" t="str">
        <f t="shared" si="19"/>
        <v/>
      </c>
      <c r="J396" s="12" t="str">
        <f t="shared" si="20"/>
        <v/>
      </c>
      <c r="K396" s="12" t="str">
        <f>IFERROR((E396 - VLOOKUP(C396, 'Stock Entry'!B:E, 4, FALSE)) * D396, "")</f>
        <v/>
      </c>
    </row>
    <row r="397" spans="7:11" x14ac:dyDescent="0.25">
      <c r="G397" s="12" t="str">
        <f t="shared" si="18"/>
        <v/>
      </c>
      <c r="I397" s="12" t="str">
        <f t="shared" si="19"/>
        <v/>
      </c>
      <c r="J397" s="12" t="str">
        <f t="shared" si="20"/>
        <v/>
      </c>
      <c r="K397" s="12" t="str">
        <f>IFERROR((E397 - VLOOKUP(C397, 'Stock Entry'!B:E, 4, FALSE)) * D397, "")</f>
        <v/>
      </c>
    </row>
    <row r="398" spans="7:11" x14ac:dyDescent="0.25">
      <c r="G398" s="12" t="str">
        <f t="shared" si="18"/>
        <v/>
      </c>
      <c r="I398" s="12" t="str">
        <f t="shared" si="19"/>
        <v/>
      </c>
      <c r="J398" s="12" t="str">
        <f t="shared" si="20"/>
        <v/>
      </c>
      <c r="K398" s="12" t="str">
        <f>IFERROR((E398 - VLOOKUP(C398, 'Stock Entry'!B:E, 4, FALSE)) * D398, "")</f>
        <v/>
      </c>
    </row>
    <row r="399" spans="7:11" x14ac:dyDescent="0.25">
      <c r="G399" s="12" t="str">
        <f t="shared" si="18"/>
        <v/>
      </c>
      <c r="I399" s="12" t="str">
        <f t="shared" si="19"/>
        <v/>
      </c>
      <c r="J399" s="12" t="str">
        <f t="shared" si="20"/>
        <v/>
      </c>
      <c r="K399" s="12" t="str">
        <f>IFERROR((E399 - VLOOKUP(C399, 'Stock Entry'!B:E, 4, FALSE)) * D399, "")</f>
        <v/>
      </c>
    </row>
    <row r="400" spans="7:11" x14ac:dyDescent="0.25">
      <c r="G400" s="12" t="str">
        <f t="shared" si="18"/>
        <v/>
      </c>
      <c r="I400" s="12" t="str">
        <f t="shared" si="19"/>
        <v/>
      </c>
      <c r="J400" s="12" t="str">
        <f t="shared" si="20"/>
        <v/>
      </c>
      <c r="K400" s="12" t="str">
        <f>IFERROR((E400 - VLOOKUP(C400, 'Stock Entry'!B:E, 4, FALSE)) * D400, "")</f>
        <v/>
      </c>
    </row>
    <row r="401" spans="7:11" x14ac:dyDescent="0.25">
      <c r="G401" s="12" t="str">
        <f t="shared" si="18"/>
        <v/>
      </c>
      <c r="I401" s="12" t="str">
        <f t="shared" si="19"/>
        <v/>
      </c>
      <c r="J401" s="12" t="str">
        <f t="shared" si="20"/>
        <v/>
      </c>
      <c r="K401" s="12" t="str">
        <f>IFERROR((E401 - VLOOKUP(C401, 'Stock Entry'!B:E, 4, FALSE)) * D401, "")</f>
        <v/>
      </c>
    </row>
    <row r="402" spans="7:11" x14ac:dyDescent="0.25">
      <c r="G402" s="12" t="str">
        <f t="shared" si="18"/>
        <v/>
      </c>
      <c r="I402" s="12" t="str">
        <f t="shared" si="19"/>
        <v/>
      </c>
      <c r="J402" s="12" t="str">
        <f t="shared" si="20"/>
        <v/>
      </c>
      <c r="K402" s="12" t="str">
        <f>IFERROR((E402 - VLOOKUP(C402, 'Stock Entry'!B:E, 4, FALSE)) * D402, "")</f>
        <v/>
      </c>
    </row>
    <row r="403" spans="7:11" x14ac:dyDescent="0.25">
      <c r="G403" s="12" t="str">
        <f t="shared" si="18"/>
        <v/>
      </c>
      <c r="I403" s="12" t="str">
        <f t="shared" si="19"/>
        <v/>
      </c>
      <c r="J403" s="12" t="str">
        <f t="shared" si="20"/>
        <v/>
      </c>
      <c r="K403" s="12" t="str">
        <f>IFERROR((E403 - VLOOKUP(C403, 'Stock Entry'!B:E, 4, FALSE)) * D403, "")</f>
        <v/>
      </c>
    </row>
    <row r="404" spans="7:11" x14ac:dyDescent="0.25">
      <c r="G404" s="12" t="str">
        <f t="shared" si="18"/>
        <v/>
      </c>
      <c r="I404" s="12" t="str">
        <f t="shared" si="19"/>
        <v/>
      </c>
      <c r="J404" s="12" t="str">
        <f t="shared" si="20"/>
        <v/>
      </c>
      <c r="K404" s="12" t="str">
        <f>IFERROR((E404 - VLOOKUP(C404, 'Stock Entry'!B:E, 4, FALSE)) * D404, "")</f>
        <v/>
      </c>
    </row>
    <row r="405" spans="7:11" x14ac:dyDescent="0.25">
      <c r="G405" s="12" t="str">
        <f t="shared" si="18"/>
        <v/>
      </c>
      <c r="I405" s="12" t="str">
        <f t="shared" si="19"/>
        <v/>
      </c>
      <c r="J405" s="12" t="str">
        <f t="shared" si="20"/>
        <v/>
      </c>
      <c r="K405" s="12" t="str">
        <f>IFERROR((E405 - VLOOKUP(C405, 'Stock Entry'!B:E, 4, FALSE)) * D405, "")</f>
        <v/>
      </c>
    </row>
    <row r="406" spans="7:11" x14ac:dyDescent="0.25">
      <c r="G406" s="12" t="str">
        <f t="shared" si="18"/>
        <v/>
      </c>
      <c r="I406" s="12" t="str">
        <f t="shared" si="19"/>
        <v/>
      </c>
      <c r="J406" s="12" t="str">
        <f t="shared" si="20"/>
        <v/>
      </c>
      <c r="K406" s="12" t="str">
        <f>IFERROR((E406 - VLOOKUP(C406, 'Stock Entry'!B:E, 4, FALSE)) * D406, "")</f>
        <v/>
      </c>
    </row>
    <row r="407" spans="7:11" x14ac:dyDescent="0.25">
      <c r="G407" s="12" t="str">
        <f t="shared" si="18"/>
        <v/>
      </c>
      <c r="I407" s="12" t="str">
        <f t="shared" si="19"/>
        <v/>
      </c>
      <c r="J407" s="12" t="str">
        <f t="shared" si="20"/>
        <v/>
      </c>
      <c r="K407" s="12" t="str">
        <f>IFERROR((E407 - VLOOKUP(C407, 'Stock Entry'!B:E, 4, FALSE)) * D407, "")</f>
        <v/>
      </c>
    </row>
    <row r="408" spans="7:11" x14ac:dyDescent="0.25">
      <c r="G408" s="12" t="str">
        <f t="shared" si="18"/>
        <v/>
      </c>
      <c r="I408" s="12" t="str">
        <f t="shared" si="19"/>
        <v/>
      </c>
      <c r="J408" s="12" t="str">
        <f t="shared" si="20"/>
        <v/>
      </c>
      <c r="K408" s="12" t="str">
        <f>IFERROR((E408 - VLOOKUP(C408, 'Stock Entry'!B:E, 4, FALSE)) * D408, "")</f>
        <v/>
      </c>
    </row>
    <row r="409" spans="7:11" x14ac:dyDescent="0.25">
      <c r="G409" s="12" t="str">
        <f t="shared" si="18"/>
        <v/>
      </c>
      <c r="I409" s="12" t="str">
        <f t="shared" si="19"/>
        <v/>
      </c>
      <c r="J409" s="12" t="str">
        <f t="shared" si="20"/>
        <v/>
      </c>
      <c r="K409" s="12" t="str">
        <f>IFERROR((E409 - VLOOKUP(C409, 'Stock Entry'!B:E, 4, FALSE)) * D409, "")</f>
        <v/>
      </c>
    </row>
    <row r="410" spans="7:11" x14ac:dyDescent="0.25">
      <c r="G410" s="12" t="str">
        <f t="shared" si="18"/>
        <v/>
      </c>
      <c r="I410" s="12" t="str">
        <f t="shared" si="19"/>
        <v/>
      </c>
      <c r="J410" s="12" t="str">
        <f t="shared" si="20"/>
        <v/>
      </c>
      <c r="K410" s="12" t="str">
        <f>IFERROR((E410 - VLOOKUP(C410, 'Stock Entry'!B:E, 4, FALSE)) * D410, "")</f>
        <v/>
      </c>
    </row>
    <row r="411" spans="7:11" x14ac:dyDescent="0.25">
      <c r="G411" s="12" t="str">
        <f t="shared" si="18"/>
        <v/>
      </c>
      <c r="I411" s="12" t="str">
        <f t="shared" si="19"/>
        <v/>
      </c>
      <c r="J411" s="12" t="str">
        <f t="shared" si="20"/>
        <v/>
      </c>
      <c r="K411" s="12" t="str">
        <f>IFERROR((E411 - VLOOKUP(C411, 'Stock Entry'!B:E, 4, FALSE)) * D411, "")</f>
        <v/>
      </c>
    </row>
    <row r="412" spans="7:11" x14ac:dyDescent="0.25">
      <c r="G412" s="12" t="str">
        <f t="shared" si="18"/>
        <v/>
      </c>
      <c r="I412" s="12" t="str">
        <f t="shared" si="19"/>
        <v/>
      </c>
      <c r="J412" s="12" t="str">
        <f t="shared" si="20"/>
        <v/>
      </c>
      <c r="K412" s="12" t="str">
        <f>IFERROR((E412 - VLOOKUP(C412, 'Stock Entry'!B:E, 4, FALSE)) * D412, "")</f>
        <v/>
      </c>
    </row>
    <row r="413" spans="7:11" x14ac:dyDescent="0.25">
      <c r="G413" s="12" t="str">
        <f t="shared" si="18"/>
        <v/>
      </c>
      <c r="I413" s="12" t="str">
        <f t="shared" si="19"/>
        <v/>
      </c>
      <c r="J413" s="12" t="str">
        <f t="shared" si="20"/>
        <v/>
      </c>
      <c r="K413" s="12" t="str">
        <f>IFERROR((E413 - VLOOKUP(C413, 'Stock Entry'!B:E, 4, FALSE)) * D413, "")</f>
        <v/>
      </c>
    </row>
    <row r="414" spans="7:11" x14ac:dyDescent="0.25">
      <c r="G414" s="12" t="str">
        <f t="shared" si="18"/>
        <v/>
      </c>
      <c r="I414" s="12" t="str">
        <f t="shared" si="19"/>
        <v/>
      </c>
      <c r="J414" s="12" t="str">
        <f t="shared" si="20"/>
        <v/>
      </c>
      <c r="K414" s="12" t="str">
        <f>IFERROR((E414 - VLOOKUP(C414, 'Stock Entry'!B:E, 4, FALSE)) * D414, "")</f>
        <v/>
      </c>
    </row>
    <row r="415" spans="7:11" x14ac:dyDescent="0.25">
      <c r="G415" s="12" t="str">
        <f t="shared" si="18"/>
        <v/>
      </c>
      <c r="I415" s="12" t="str">
        <f t="shared" si="19"/>
        <v/>
      </c>
      <c r="J415" s="12" t="str">
        <f t="shared" si="20"/>
        <v/>
      </c>
      <c r="K415" s="12" t="str">
        <f>IFERROR((E415 - VLOOKUP(C415, 'Stock Entry'!B:E, 4, FALSE)) * D415, "")</f>
        <v/>
      </c>
    </row>
    <row r="416" spans="7:11" x14ac:dyDescent="0.25">
      <c r="G416" s="12" t="str">
        <f t="shared" si="18"/>
        <v/>
      </c>
      <c r="I416" s="12" t="str">
        <f t="shared" si="19"/>
        <v/>
      </c>
      <c r="J416" s="12" t="str">
        <f t="shared" si="20"/>
        <v/>
      </c>
      <c r="K416" s="12" t="str">
        <f>IFERROR((E416 - VLOOKUP(C416, 'Stock Entry'!B:E, 4, FALSE)) * D416, "")</f>
        <v/>
      </c>
    </row>
    <row r="417" spans="7:11" x14ac:dyDescent="0.25">
      <c r="G417" s="12" t="str">
        <f t="shared" si="18"/>
        <v/>
      </c>
      <c r="I417" s="12" t="str">
        <f t="shared" si="19"/>
        <v/>
      </c>
      <c r="J417" s="12" t="str">
        <f t="shared" si="20"/>
        <v/>
      </c>
      <c r="K417" s="12" t="str">
        <f>IFERROR((E417 - VLOOKUP(C417, 'Stock Entry'!B:E, 4, FALSE)) * D417, "")</f>
        <v/>
      </c>
    </row>
    <row r="418" spans="7:11" x14ac:dyDescent="0.25">
      <c r="G418" s="12" t="str">
        <f t="shared" si="18"/>
        <v/>
      </c>
      <c r="I418" s="12" t="str">
        <f t="shared" si="19"/>
        <v/>
      </c>
      <c r="J418" s="12" t="str">
        <f t="shared" si="20"/>
        <v/>
      </c>
      <c r="K418" s="12" t="str">
        <f>IFERROR((E418 - VLOOKUP(C418, 'Stock Entry'!B:E, 4, FALSE)) * D418, "")</f>
        <v/>
      </c>
    </row>
    <row r="419" spans="7:11" x14ac:dyDescent="0.25">
      <c r="G419" s="12" t="str">
        <f t="shared" si="18"/>
        <v/>
      </c>
      <c r="I419" s="12" t="str">
        <f t="shared" si="19"/>
        <v/>
      </c>
      <c r="J419" s="12" t="str">
        <f t="shared" si="20"/>
        <v/>
      </c>
      <c r="K419" s="12" t="str">
        <f>IFERROR((E419 - VLOOKUP(C419, 'Stock Entry'!B:E, 4, FALSE)) * D419, "")</f>
        <v/>
      </c>
    </row>
    <row r="420" spans="7:11" x14ac:dyDescent="0.25">
      <c r="G420" s="12" t="str">
        <f t="shared" si="18"/>
        <v/>
      </c>
      <c r="I420" s="12" t="str">
        <f t="shared" si="19"/>
        <v/>
      </c>
      <c r="J420" s="12" t="str">
        <f t="shared" si="20"/>
        <v/>
      </c>
      <c r="K420" s="12" t="str">
        <f>IFERROR((E420 - VLOOKUP(C420, 'Stock Entry'!B:E, 4, FALSE)) * D420, "")</f>
        <v/>
      </c>
    </row>
    <row r="421" spans="7:11" x14ac:dyDescent="0.25">
      <c r="G421" s="12" t="str">
        <f t="shared" si="18"/>
        <v/>
      </c>
      <c r="I421" s="12" t="str">
        <f t="shared" si="19"/>
        <v/>
      </c>
      <c r="J421" s="12" t="str">
        <f t="shared" si="20"/>
        <v/>
      </c>
      <c r="K421" s="12" t="str">
        <f>IFERROR((E421 - VLOOKUP(C421, 'Stock Entry'!B:E, 4, FALSE)) * D421, "")</f>
        <v/>
      </c>
    </row>
    <row r="422" spans="7:11" x14ac:dyDescent="0.25">
      <c r="G422" s="12" t="str">
        <f t="shared" si="18"/>
        <v/>
      </c>
      <c r="I422" s="12" t="str">
        <f t="shared" si="19"/>
        <v/>
      </c>
      <c r="J422" s="12" t="str">
        <f t="shared" si="20"/>
        <v/>
      </c>
      <c r="K422" s="12" t="str">
        <f>IFERROR((E422 - VLOOKUP(C422, 'Stock Entry'!B:E, 4, FALSE)) * D422, "")</f>
        <v/>
      </c>
    </row>
    <row r="423" spans="7:11" x14ac:dyDescent="0.25">
      <c r="G423" s="12" t="str">
        <f t="shared" si="18"/>
        <v/>
      </c>
      <c r="I423" s="12" t="str">
        <f t="shared" si="19"/>
        <v/>
      </c>
      <c r="J423" s="12" t="str">
        <f t="shared" si="20"/>
        <v/>
      </c>
      <c r="K423" s="12" t="str">
        <f>IFERROR((E423 - VLOOKUP(C423, 'Stock Entry'!B:E, 4, FALSE)) * D423, "")</f>
        <v/>
      </c>
    </row>
    <row r="424" spans="7:11" x14ac:dyDescent="0.25">
      <c r="G424" s="12" t="str">
        <f t="shared" si="18"/>
        <v/>
      </c>
      <c r="I424" s="12" t="str">
        <f t="shared" si="19"/>
        <v/>
      </c>
      <c r="J424" s="12" t="str">
        <f t="shared" si="20"/>
        <v/>
      </c>
      <c r="K424" s="12" t="str">
        <f>IFERROR((E424 - VLOOKUP(C424, 'Stock Entry'!B:E, 4, FALSE)) * D424, "")</f>
        <v/>
      </c>
    </row>
    <row r="425" spans="7:11" x14ac:dyDescent="0.25">
      <c r="G425" s="12" t="str">
        <f t="shared" si="18"/>
        <v/>
      </c>
      <c r="I425" s="12" t="str">
        <f t="shared" si="19"/>
        <v/>
      </c>
      <c r="J425" s="12" t="str">
        <f t="shared" si="20"/>
        <v/>
      </c>
      <c r="K425" s="12" t="str">
        <f>IFERROR((E425 - VLOOKUP(C425, 'Stock Entry'!B:E, 4, FALSE)) * D425, "")</f>
        <v/>
      </c>
    </row>
    <row r="426" spans="7:11" x14ac:dyDescent="0.25">
      <c r="G426" s="12" t="str">
        <f t="shared" si="18"/>
        <v/>
      </c>
      <c r="I426" s="12" t="str">
        <f t="shared" si="19"/>
        <v/>
      </c>
      <c r="J426" s="12" t="str">
        <f t="shared" si="20"/>
        <v/>
      </c>
      <c r="K426" s="12" t="str">
        <f>IFERROR((E426 - VLOOKUP(C426, 'Stock Entry'!B:E, 4, FALSE)) * D426, "")</f>
        <v/>
      </c>
    </row>
    <row r="427" spans="7:11" x14ac:dyDescent="0.25">
      <c r="G427" s="12" t="str">
        <f t="shared" si="18"/>
        <v/>
      </c>
      <c r="I427" s="12" t="str">
        <f t="shared" si="19"/>
        <v/>
      </c>
      <c r="J427" s="12" t="str">
        <f t="shared" si="20"/>
        <v/>
      </c>
      <c r="K427" s="12" t="str">
        <f>IFERROR((E427 - VLOOKUP(C427, 'Stock Entry'!B:E, 4, FALSE)) * D427, "")</f>
        <v/>
      </c>
    </row>
    <row r="428" spans="7:11" x14ac:dyDescent="0.25">
      <c r="G428" s="12" t="str">
        <f t="shared" si="18"/>
        <v/>
      </c>
      <c r="I428" s="12" t="str">
        <f t="shared" si="19"/>
        <v/>
      </c>
      <c r="J428" s="12" t="str">
        <f t="shared" si="20"/>
        <v/>
      </c>
      <c r="K428" s="12" t="str">
        <f>IFERROR((E428 - VLOOKUP(C428, 'Stock Entry'!B:E, 4, FALSE)) * D428, "")</f>
        <v/>
      </c>
    </row>
    <row r="429" spans="7:11" x14ac:dyDescent="0.25">
      <c r="G429" s="12" t="str">
        <f t="shared" si="18"/>
        <v/>
      </c>
      <c r="I429" s="12" t="str">
        <f t="shared" si="19"/>
        <v/>
      </c>
      <c r="J429" s="12" t="str">
        <f t="shared" si="20"/>
        <v/>
      </c>
      <c r="K429" s="12" t="str">
        <f>IFERROR((E429 - VLOOKUP(C429, 'Stock Entry'!B:E, 4, FALSE)) * D429, "")</f>
        <v/>
      </c>
    </row>
    <row r="430" spans="7:11" x14ac:dyDescent="0.25">
      <c r="G430" s="12" t="str">
        <f t="shared" si="18"/>
        <v/>
      </c>
      <c r="I430" s="12" t="str">
        <f t="shared" si="19"/>
        <v/>
      </c>
      <c r="J430" s="12" t="str">
        <f t="shared" si="20"/>
        <v/>
      </c>
      <c r="K430" s="12" t="str">
        <f>IFERROR((E430 - VLOOKUP(C430, 'Stock Entry'!B:E, 4, FALSE)) * D430, "")</f>
        <v/>
      </c>
    </row>
    <row r="431" spans="7:11" x14ac:dyDescent="0.25">
      <c r="G431" s="12" t="str">
        <f t="shared" si="18"/>
        <v/>
      </c>
      <c r="I431" s="12" t="str">
        <f t="shared" si="19"/>
        <v/>
      </c>
      <c r="J431" s="12" t="str">
        <f t="shared" si="20"/>
        <v/>
      </c>
      <c r="K431" s="12" t="str">
        <f>IFERROR((E431 - VLOOKUP(C431, 'Stock Entry'!B:E, 4, FALSE)) * D431, "")</f>
        <v/>
      </c>
    </row>
    <row r="432" spans="7:11" x14ac:dyDescent="0.25">
      <c r="G432" s="12" t="str">
        <f t="shared" si="18"/>
        <v/>
      </c>
      <c r="I432" s="12" t="str">
        <f t="shared" si="19"/>
        <v/>
      </c>
      <c r="J432" s="12" t="str">
        <f t="shared" si="20"/>
        <v/>
      </c>
      <c r="K432" s="12" t="str">
        <f>IFERROR((E432 - VLOOKUP(C432, 'Stock Entry'!B:E, 4, FALSE)) * D432, "")</f>
        <v/>
      </c>
    </row>
    <row r="433" spans="7:11" x14ac:dyDescent="0.25">
      <c r="G433" s="12" t="str">
        <f t="shared" si="18"/>
        <v/>
      </c>
      <c r="I433" s="12" t="str">
        <f t="shared" si="19"/>
        <v/>
      </c>
      <c r="J433" s="12" t="str">
        <f t="shared" si="20"/>
        <v/>
      </c>
      <c r="K433" s="12" t="str">
        <f>IFERROR((E433 - VLOOKUP(C433, 'Stock Entry'!B:E, 4, FALSE)) * D433, "")</f>
        <v/>
      </c>
    </row>
    <row r="434" spans="7:11" x14ac:dyDescent="0.25">
      <c r="G434" s="12" t="str">
        <f t="shared" si="18"/>
        <v/>
      </c>
      <c r="I434" s="12" t="str">
        <f t="shared" si="19"/>
        <v/>
      </c>
      <c r="J434" s="12" t="str">
        <f t="shared" si="20"/>
        <v/>
      </c>
      <c r="K434" s="12" t="str">
        <f>IFERROR((E434 - VLOOKUP(C434, 'Stock Entry'!B:E, 4, FALSE)) * D434, "")</f>
        <v/>
      </c>
    </row>
    <row r="435" spans="7:11" x14ac:dyDescent="0.25">
      <c r="G435" s="12" t="str">
        <f t="shared" si="18"/>
        <v/>
      </c>
      <c r="I435" s="12" t="str">
        <f t="shared" si="19"/>
        <v/>
      </c>
      <c r="J435" s="12" t="str">
        <f t="shared" si="20"/>
        <v/>
      </c>
      <c r="K435" s="12" t="str">
        <f>IFERROR((E435 - VLOOKUP(C435, 'Stock Entry'!B:E, 4, FALSE)) * D435, "")</f>
        <v/>
      </c>
    </row>
    <row r="436" spans="7:11" x14ac:dyDescent="0.25">
      <c r="G436" s="12" t="str">
        <f t="shared" si="18"/>
        <v/>
      </c>
      <c r="I436" s="12" t="str">
        <f t="shared" si="19"/>
        <v/>
      </c>
      <c r="J436" s="12" t="str">
        <f t="shared" si="20"/>
        <v/>
      </c>
      <c r="K436" s="12" t="str">
        <f>IFERROR((E436 - VLOOKUP(C436, 'Stock Entry'!B:E, 4, FALSE)) * D436, "")</f>
        <v/>
      </c>
    </row>
    <row r="437" spans="7:11" x14ac:dyDescent="0.25">
      <c r="G437" s="12" t="str">
        <f t="shared" si="18"/>
        <v/>
      </c>
      <c r="I437" s="12" t="str">
        <f t="shared" si="19"/>
        <v/>
      </c>
      <c r="J437" s="12" t="str">
        <f t="shared" si="20"/>
        <v/>
      </c>
      <c r="K437" s="12" t="str">
        <f>IFERROR((E437 - VLOOKUP(C437, 'Stock Entry'!B:E, 4, FALSE)) * D437, "")</f>
        <v/>
      </c>
    </row>
    <row r="438" spans="7:11" x14ac:dyDescent="0.25">
      <c r="G438" s="12" t="str">
        <f t="shared" si="18"/>
        <v/>
      </c>
      <c r="I438" s="12" t="str">
        <f t="shared" si="19"/>
        <v/>
      </c>
      <c r="J438" s="12" t="str">
        <f t="shared" si="20"/>
        <v/>
      </c>
      <c r="K438" s="12" t="str">
        <f>IFERROR((E438 - VLOOKUP(C438, 'Stock Entry'!B:E, 4, FALSE)) * D438, "")</f>
        <v/>
      </c>
    </row>
    <row r="439" spans="7:11" x14ac:dyDescent="0.25">
      <c r="G439" s="12" t="str">
        <f t="shared" si="18"/>
        <v/>
      </c>
      <c r="I439" s="12" t="str">
        <f t="shared" si="19"/>
        <v/>
      </c>
      <c r="J439" s="12" t="str">
        <f t="shared" si="20"/>
        <v/>
      </c>
      <c r="K439" s="12" t="str">
        <f>IFERROR((E439 - VLOOKUP(C439, 'Stock Entry'!B:E, 4, FALSE)) * D439, "")</f>
        <v/>
      </c>
    </row>
    <row r="440" spans="7:11" x14ac:dyDescent="0.25">
      <c r="G440" s="12" t="str">
        <f t="shared" si="18"/>
        <v/>
      </c>
      <c r="I440" s="12" t="str">
        <f t="shared" si="19"/>
        <v/>
      </c>
      <c r="J440" s="12" t="str">
        <f t="shared" si="20"/>
        <v/>
      </c>
      <c r="K440" s="12" t="str">
        <f>IFERROR((E440 - VLOOKUP(C440, 'Stock Entry'!B:E, 4, FALSE)) * D440, "")</f>
        <v/>
      </c>
    </row>
    <row r="441" spans="7:11" x14ac:dyDescent="0.25">
      <c r="G441" s="12" t="str">
        <f t="shared" si="18"/>
        <v/>
      </c>
      <c r="I441" s="12" t="str">
        <f t="shared" si="19"/>
        <v/>
      </c>
      <c r="J441" s="12" t="str">
        <f t="shared" si="20"/>
        <v/>
      </c>
      <c r="K441" s="12" t="str">
        <f>IFERROR((E441 - VLOOKUP(C441, 'Stock Entry'!B:E, 4, FALSE)) * D441, "")</f>
        <v/>
      </c>
    </row>
    <row r="442" spans="7:11" x14ac:dyDescent="0.25">
      <c r="G442" s="12" t="str">
        <f t="shared" si="18"/>
        <v/>
      </c>
      <c r="I442" s="12" t="str">
        <f t="shared" si="19"/>
        <v/>
      </c>
      <c r="J442" s="12" t="str">
        <f t="shared" si="20"/>
        <v/>
      </c>
      <c r="K442" s="12" t="str">
        <f>IFERROR((E442 - VLOOKUP(C442, 'Stock Entry'!B:E, 4, FALSE)) * D442, "")</f>
        <v/>
      </c>
    </row>
    <row r="443" spans="7:11" x14ac:dyDescent="0.25">
      <c r="G443" s="12" t="str">
        <f t="shared" si="18"/>
        <v/>
      </c>
      <c r="I443" s="12" t="str">
        <f t="shared" si="19"/>
        <v/>
      </c>
      <c r="J443" s="12" t="str">
        <f t="shared" si="20"/>
        <v/>
      </c>
      <c r="K443" s="12" t="str">
        <f>IFERROR((E443 - VLOOKUP(C443, 'Stock Entry'!B:E, 4, FALSE)) * D443, "")</f>
        <v/>
      </c>
    </row>
    <row r="444" spans="7:11" x14ac:dyDescent="0.25">
      <c r="G444" s="12" t="str">
        <f t="shared" si="18"/>
        <v/>
      </c>
      <c r="I444" s="12" t="str">
        <f t="shared" si="19"/>
        <v/>
      </c>
      <c r="J444" s="12" t="str">
        <f t="shared" si="20"/>
        <v/>
      </c>
      <c r="K444" s="12" t="str">
        <f>IFERROR((E444 - VLOOKUP(C444, 'Stock Entry'!B:E, 4, FALSE)) * D444, "")</f>
        <v/>
      </c>
    </row>
    <row r="445" spans="7:11" x14ac:dyDescent="0.25">
      <c r="G445" s="12" t="str">
        <f t="shared" si="18"/>
        <v/>
      </c>
      <c r="I445" s="12" t="str">
        <f t="shared" si="19"/>
        <v/>
      </c>
      <c r="J445" s="12" t="str">
        <f t="shared" si="20"/>
        <v/>
      </c>
      <c r="K445" s="12" t="str">
        <f>IFERROR((E445 - VLOOKUP(C445, 'Stock Entry'!B:E, 4, FALSE)) * D445, "")</f>
        <v/>
      </c>
    </row>
    <row r="446" spans="7:11" x14ac:dyDescent="0.25">
      <c r="G446" s="12" t="str">
        <f t="shared" si="18"/>
        <v/>
      </c>
      <c r="I446" s="12" t="str">
        <f t="shared" si="19"/>
        <v/>
      </c>
      <c r="J446" s="12" t="str">
        <f t="shared" si="20"/>
        <v/>
      </c>
      <c r="K446" s="12" t="str">
        <f>IFERROR((E446 - VLOOKUP(C446, 'Stock Entry'!B:E, 4, FALSE)) * D446, "")</f>
        <v/>
      </c>
    </row>
    <row r="447" spans="7:11" x14ac:dyDescent="0.25">
      <c r="G447" s="12" t="str">
        <f t="shared" si="18"/>
        <v/>
      </c>
      <c r="I447" s="12" t="str">
        <f t="shared" si="19"/>
        <v/>
      </c>
      <c r="J447" s="12" t="str">
        <f t="shared" si="20"/>
        <v/>
      </c>
      <c r="K447" s="12" t="str">
        <f>IFERROR((E447 - VLOOKUP(C447, 'Stock Entry'!B:E, 4, FALSE)) * D447, "")</f>
        <v/>
      </c>
    </row>
    <row r="448" spans="7:11" x14ac:dyDescent="0.25">
      <c r="G448" s="12" t="str">
        <f t="shared" si="18"/>
        <v/>
      </c>
      <c r="I448" s="12" t="str">
        <f t="shared" si="19"/>
        <v/>
      </c>
      <c r="J448" s="12" t="str">
        <f t="shared" si="20"/>
        <v/>
      </c>
      <c r="K448" s="12" t="str">
        <f>IFERROR((E448 - VLOOKUP(C448, 'Stock Entry'!B:E, 4, FALSE)) * D448, "")</f>
        <v/>
      </c>
    </row>
    <row r="449" spans="7:11" x14ac:dyDescent="0.25">
      <c r="G449" s="12" t="str">
        <f t="shared" si="18"/>
        <v/>
      </c>
      <c r="I449" s="12" t="str">
        <f t="shared" si="19"/>
        <v/>
      </c>
      <c r="J449" s="12" t="str">
        <f t="shared" si="20"/>
        <v/>
      </c>
      <c r="K449" s="12" t="str">
        <f>IFERROR((E449 - VLOOKUP(C449, 'Stock Entry'!B:E, 4, FALSE)) * D449, "")</f>
        <v/>
      </c>
    </row>
    <row r="450" spans="7:11" x14ac:dyDescent="0.25">
      <c r="G450" s="12" t="str">
        <f t="shared" si="18"/>
        <v/>
      </c>
      <c r="I450" s="12" t="str">
        <f t="shared" si="19"/>
        <v/>
      </c>
      <c r="J450" s="12" t="str">
        <f t="shared" si="20"/>
        <v/>
      </c>
      <c r="K450" s="12" t="str">
        <f>IFERROR((E450 - VLOOKUP(C450, 'Stock Entry'!B:E, 4, FALSE)) * D450, "")</f>
        <v/>
      </c>
    </row>
    <row r="451" spans="7:11" x14ac:dyDescent="0.25">
      <c r="G451" s="12" t="str">
        <f t="shared" ref="G451:G514" si="21">IF(F451="Full Cash", D451*E451, "")</f>
        <v/>
      </c>
      <c r="I451" s="12" t="str">
        <f t="shared" ref="I451:I514" si="22">IF(F451="Full Credit",D451*E451,IF(F451="Partly Payment",(D451*E451)-H451,""))</f>
        <v/>
      </c>
      <c r="J451" s="12" t="str">
        <f t="shared" ref="J451:J514" si="23">IF(F451="Full Cash", G451, IF(F451="Full Credit", I451, IF(F451="Partly Payment", H451+I451, "")))</f>
        <v/>
      </c>
      <c r="K451" s="12" t="str">
        <f>IFERROR((E451 - VLOOKUP(C451, 'Stock Entry'!B:E, 4, FALSE)) * D451, "")</f>
        <v/>
      </c>
    </row>
    <row r="452" spans="7:11" x14ac:dyDescent="0.25">
      <c r="G452" s="12" t="str">
        <f t="shared" si="21"/>
        <v/>
      </c>
      <c r="I452" s="12" t="str">
        <f t="shared" si="22"/>
        <v/>
      </c>
      <c r="J452" s="12" t="str">
        <f t="shared" si="23"/>
        <v/>
      </c>
      <c r="K452" s="12" t="str">
        <f>IFERROR((E452 - VLOOKUP(C452, 'Stock Entry'!B:E, 4, FALSE)) * D452, "")</f>
        <v/>
      </c>
    </row>
    <row r="453" spans="7:11" x14ac:dyDescent="0.25">
      <c r="G453" s="12" t="str">
        <f t="shared" si="21"/>
        <v/>
      </c>
      <c r="I453" s="12" t="str">
        <f t="shared" si="22"/>
        <v/>
      </c>
      <c r="J453" s="12" t="str">
        <f t="shared" si="23"/>
        <v/>
      </c>
      <c r="K453" s="12" t="str">
        <f>IFERROR((E453 - VLOOKUP(C453, 'Stock Entry'!B:E, 4, FALSE)) * D453, "")</f>
        <v/>
      </c>
    </row>
    <row r="454" spans="7:11" x14ac:dyDescent="0.25">
      <c r="G454" s="12" t="str">
        <f t="shared" si="21"/>
        <v/>
      </c>
      <c r="I454" s="12" t="str">
        <f t="shared" si="22"/>
        <v/>
      </c>
      <c r="J454" s="12" t="str">
        <f t="shared" si="23"/>
        <v/>
      </c>
      <c r="K454" s="12" t="str">
        <f>IFERROR((E454 - VLOOKUP(C454, 'Stock Entry'!B:E, 4, FALSE)) * D454, "")</f>
        <v/>
      </c>
    </row>
    <row r="455" spans="7:11" x14ac:dyDescent="0.25">
      <c r="G455" s="12" t="str">
        <f t="shared" si="21"/>
        <v/>
      </c>
      <c r="I455" s="12" t="str">
        <f t="shared" si="22"/>
        <v/>
      </c>
      <c r="J455" s="12" t="str">
        <f t="shared" si="23"/>
        <v/>
      </c>
      <c r="K455" s="12" t="str">
        <f>IFERROR((E455 - VLOOKUP(C455, 'Stock Entry'!B:E, 4, FALSE)) * D455, "")</f>
        <v/>
      </c>
    </row>
    <row r="456" spans="7:11" x14ac:dyDescent="0.25">
      <c r="G456" s="12" t="str">
        <f t="shared" si="21"/>
        <v/>
      </c>
      <c r="I456" s="12" t="str">
        <f t="shared" si="22"/>
        <v/>
      </c>
      <c r="J456" s="12" t="str">
        <f t="shared" si="23"/>
        <v/>
      </c>
      <c r="K456" s="12" t="str">
        <f>IFERROR((E456 - VLOOKUP(C456, 'Stock Entry'!B:E, 4, FALSE)) * D456, "")</f>
        <v/>
      </c>
    </row>
    <row r="457" spans="7:11" x14ac:dyDescent="0.25">
      <c r="G457" s="12" t="str">
        <f t="shared" si="21"/>
        <v/>
      </c>
      <c r="I457" s="12" t="str">
        <f t="shared" si="22"/>
        <v/>
      </c>
      <c r="J457" s="12" t="str">
        <f t="shared" si="23"/>
        <v/>
      </c>
      <c r="K457" s="12" t="str">
        <f>IFERROR((E457 - VLOOKUP(C457, 'Stock Entry'!B:E, 4, FALSE)) * D457, "")</f>
        <v/>
      </c>
    </row>
    <row r="458" spans="7:11" x14ac:dyDescent="0.25">
      <c r="G458" s="12" t="str">
        <f t="shared" si="21"/>
        <v/>
      </c>
      <c r="I458" s="12" t="str">
        <f t="shared" si="22"/>
        <v/>
      </c>
      <c r="J458" s="12" t="str">
        <f t="shared" si="23"/>
        <v/>
      </c>
      <c r="K458" s="12" t="str">
        <f>IFERROR((E458 - VLOOKUP(C458, 'Stock Entry'!B:E, 4, FALSE)) * D458, "")</f>
        <v/>
      </c>
    </row>
    <row r="459" spans="7:11" x14ac:dyDescent="0.25">
      <c r="G459" s="12" t="str">
        <f t="shared" si="21"/>
        <v/>
      </c>
      <c r="I459" s="12" t="str">
        <f t="shared" si="22"/>
        <v/>
      </c>
      <c r="J459" s="12" t="str">
        <f t="shared" si="23"/>
        <v/>
      </c>
      <c r="K459" s="12" t="str">
        <f>IFERROR((E459 - VLOOKUP(C459, 'Stock Entry'!B:E, 4, FALSE)) * D459, "")</f>
        <v/>
      </c>
    </row>
    <row r="460" spans="7:11" x14ac:dyDescent="0.25">
      <c r="G460" s="12" t="str">
        <f t="shared" si="21"/>
        <v/>
      </c>
      <c r="I460" s="12" t="str">
        <f t="shared" si="22"/>
        <v/>
      </c>
      <c r="J460" s="12" t="str">
        <f t="shared" si="23"/>
        <v/>
      </c>
      <c r="K460" s="12" t="str">
        <f>IFERROR((E460 - VLOOKUP(C460, 'Stock Entry'!B:E, 4, FALSE)) * D460, "")</f>
        <v/>
      </c>
    </row>
    <row r="461" spans="7:11" x14ac:dyDescent="0.25">
      <c r="G461" s="12" t="str">
        <f t="shared" si="21"/>
        <v/>
      </c>
      <c r="I461" s="12" t="str">
        <f t="shared" si="22"/>
        <v/>
      </c>
      <c r="J461" s="12" t="str">
        <f t="shared" si="23"/>
        <v/>
      </c>
      <c r="K461" s="12" t="str">
        <f>IFERROR((E461 - VLOOKUP(C461, 'Stock Entry'!B:E, 4, FALSE)) * D461, "")</f>
        <v/>
      </c>
    </row>
    <row r="462" spans="7:11" x14ac:dyDescent="0.25">
      <c r="G462" s="12" t="str">
        <f t="shared" si="21"/>
        <v/>
      </c>
      <c r="I462" s="12" t="str">
        <f t="shared" si="22"/>
        <v/>
      </c>
      <c r="J462" s="12" t="str">
        <f t="shared" si="23"/>
        <v/>
      </c>
      <c r="K462" s="12" t="str">
        <f>IFERROR((E462 - VLOOKUP(C462, 'Stock Entry'!B:E, 4, FALSE)) * D462, "")</f>
        <v/>
      </c>
    </row>
    <row r="463" spans="7:11" x14ac:dyDescent="0.25">
      <c r="G463" s="12" t="str">
        <f t="shared" si="21"/>
        <v/>
      </c>
      <c r="I463" s="12" t="str">
        <f t="shared" si="22"/>
        <v/>
      </c>
      <c r="J463" s="12" t="str">
        <f t="shared" si="23"/>
        <v/>
      </c>
      <c r="K463" s="12" t="str">
        <f>IFERROR((E463 - VLOOKUP(C463, 'Stock Entry'!B:E, 4, FALSE)) * D463, "")</f>
        <v/>
      </c>
    </row>
    <row r="464" spans="7:11" x14ac:dyDescent="0.25">
      <c r="G464" s="12" t="str">
        <f t="shared" si="21"/>
        <v/>
      </c>
      <c r="I464" s="12" t="str">
        <f t="shared" si="22"/>
        <v/>
      </c>
      <c r="J464" s="12" t="str">
        <f t="shared" si="23"/>
        <v/>
      </c>
      <c r="K464" s="12" t="str">
        <f>IFERROR((E464 - VLOOKUP(C464, 'Stock Entry'!B:E, 4, FALSE)) * D464, "")</f>
        <v/>
      </c>
    </row>
    <row r="465" spans="7:11" x14ac:dyDescent="0.25">
      <c r="G465" s="12" t="str">
        <f t="shared" si="21"/>
        <v/>
      </c>
      <c r="I465" s="12" t="str">
        <f t="shared" si="22"/>
        <v/>
      </c>
      <c r="J465" s="12" t="str">
        <f t="shared" si="23"/>
        <v/>
      </c>
      <c r="K465" s="12" t="str">
        <f>IFERROR((E465 - VLOOKUP(C465, 'Stock Entry'!B:E, 4, FALSE)) * D465, "")</f>
        <v/>
      </c>
    </row>
    <row r="466" spans="7:11" x14ac:dyDescent="0.25">
      <c r="G466" s="12" t="str">
        <f t="shared" si="21"/>
        <v/>
      </c>
      <c r="I466" s="12" t="str">
        <f t="shared" si="22"/>
        <v/>
      </c>
      <c r="J466" s="12" t="str">
        <f t="shared" si="23"/>
        <v/>
      </c>
      <c r="K466" s="12" t="str">
        <f>IFERROR((E466 - VLOOKUP(C466, 'Stock Entry'!B:E, 4, FALSE)) * D466, "")</f>
        <v/>
      </c>
    </row>
    <row r="467" spans="7:11" x14ac:dyDescent="0.25">
      <c r="G467" s="12" t="str">
        <f t="shared" si="21"/>
        <v/>
      </c>
      <c r="I467" s="12" t="str">
        <f t="shared" si="22"/>
        <v/>
      </c>
      <c r="J467" s="12" t="str">
        <f t="shared" si="23"/>
        <v/>
      </c>
      <c r="K467" s="12" t="str">
        <f>IFERROR((E467 - VLOOKUP(C467, 'Stock Entry'!B:E, 4, FALSE)) * D467, "")</f>
        <v/>
      </c>
    </row>
    <row r="468" spans="7:11" x14ac:dyDescent="0.25">
      <c r="G468" s="12" t="str">
        <f t="shared" si="21"/>
        <v/>
      </c>
      <c r="I468" s="12" t="str">
        <f t="shared" si="22"/>
        <v/>
      </c>
      <c r="J468" s="12" t="str">
        <f t="shared" si="23"/>
        <v/>
      </c>
      <c r="K468" s="12" t="str">
        <f>IFERROR((E468 - VLOOKUP(C468, 'Stock Entry'!B:E, 4, FALSE)) * D468, "")</f>
        <v/>
      </c>
    </row>
    <row r="469" spans="7:11" x14ac:dyDescent="0.25">
      <c r="G469" s="12" t="str">
        <f t="shared" si="21"/>
        <v/>
      </c>
      <c r="I469" s="12" t="str">
        <f t="shared" si="22"/>
        <v/>
      </c>
      <c r="J469" s="12" t="str">
        <f t="shared" si="23"/>
        <v/>
      </c>
      <c r="K469" s="12" t="str">
        <f>IFERROR((E469 - VLOOKUP(C469, 'Stock Entry'!B:E, 4, FALSE)) * D469, "")</f>
        <v/>
      </c>
    </row>
    <row r="470" spans="7:11" x14ac:dyDescent="0.25">
      <c r="G470" s="12" t="str">
        <f t="shared" si="21"/>
        <v/>
      </c>
      <c r="I470" s="12" t="str">
        <f t="shared" si="22"/>
        <v/>
      </c>
      <c r="J470" s="12" t="str">
        <f t="shared" si="23"/>
        <v/>
      </c>
      <c r="K470" s="12" t="str">
        <f>IFERROR((E470 - VLOOKUP(C470, 'Stock Entry'!B:E, 4, FALSE)) * D470, "")</f>
        <v/>
      </c>
    </row>
    <row r="471" spans="7:11" x14ac:dyDescent="0.25">
      <c r="G471" s="12" t="str">
        <f t="shared" si="21"/>
        <v/>
      </c>
      <c r="I471" s="12" t="str">
        <f t="shared" si="22"/>
        <v/>
      </c>
      <c r="J471" s="12" t="str">
        <f t="shared" si="23"/>
        <v/>
      </c>
      <c r="K471" s="12" t="str">
        <f>IFERROR((E471 - VLOOKUP(C471, 'Stock Entry'!B:E, 4, FALSE)) * D471, "")</f>
        <v/>
      </c>
    </row>
    <row r="472" spans="7:11" x14ac:dyDescent="0.25">
      <c r="G472" s="12" t="str">
        <f t="shared" si="21"/>
        <v/>
      </c>
      <c r="I472" s="12" t="str">
        <f t="shared" si="22"/>
        <v/>
      </c>
      <c r="J472" s="12" t="str">
        <f t="shared" si="23"/>
        <v/>
      </c>
      <c r="K472" s="12" t="str">
        <f>IFERROR((E472 - VLOOKUP(C472, 'Stock Entry'!B:E, 4, FALSE)) * D472, "")</f>
        <v/>
      </c>
    </row>
    <row r="473" spans="7:11" x14ac:dyDescent="0.25">
      <c r="G473" s="12" t="str">
        <f t="shared" si="21"/>
        <v/>
      </c>
      <c r="I473" s="12" t="str">
        <f t="shared" si="22"/>
        <v/>
      </c>
      <c r="J473" s="12" t="str">
        <f t="shared" si="23"/>
        <v/>
      </c>
      <c r="K473" s="12" t="str">
        <f>IFERROR((E473 - VLOOKUP(C473, 'Stock Entry'!B:E, 4, FALSE)) * D473, "")</f>
        <v/>
      </c>
    </row>
    <row r="474" spans="7:11" x14ac:dyDescent="0.25">
      <c r="G474" s="12" t="str">
        <f t="shared" si="21"/>
        <v/>
      </c>
      <c r="I474" s="12" t="str">
        <f t="shared" si="22"/>
        <v/>
      </c>
      <c r="J474" s="12" t="str">
        <f t="shared" si="23"/>
        <v/>
      </c>
      <c r="K474" s="12" t="str">
        <f>IFERROR((E474 - VLOOKUP(C474, 'Stock Entry'!B:E, 4, FALSE)) * D474, "")</f>
        <v/>
      </c>
    </row>
    <row r="475" spans="7:11" x14ac:dyDescent="0.25">
      <c r="G475" s="12" t="str">
        <f t="shared" si="21"/>
        <v/>
      </c>
      <c r="I475" s="12" t="str">
        <f t="shared" si="22"/>
        <v/>
      </c>
      <c r="J475" s="12" t="str">
        <f t="shared" si="23"/>
        <v/>
      </c>
      <c r="K475" s="12" t="str">
        <f>IFERROR((E475 - VLOOKUP(C475, 'Stock Entry'!B:E, 4, FALSE)) * D475, "")</f>
        <v/>
      </c>
    </row>
    <row r="476" spans="7:11" x14ac:dyDescent="0.25">
      <c r="G476" s="12" t="str">
        <f t="shared" si="21"/>
        <v/>
      </c>
      <c r="I476" s="12" t="str">
        <f t="shared" si="22"/>
        <v/>
      </c>
      <c r="J476" s="12" t="str">
        <f t="shared" si="23"/>
        <v/>
      </c>
      <c r="K476" s="12" t="str">
        <f>IFERROR((E476 - VLOOKUP(C476, 'Stock Entry'!B:E, 4, FALSE)) * D476, "")</f>
        <v/>
      </c>
    </row>
    <row r="477" spans="7:11" x14ac:dyDescent="0.25">
      <c r="G477" s="12" t="str">
        <f t="shared" si="21"/>
        <v/>
      </c>
      <c r="I477" s="12" t="str">
        <f t="shared" si="22"/>
        <v/>
      </c>
      <c r="J477" s="12" t="str">
        <f t="shared" si="23"/>
        <v/>
      </c>
      <c r="K477" s="12" t="str">
        <f>IFERROR((E477 - VLOOKUP(C477, 'Stock Entry'!B:E, 4, FALSE)) * D477, "")</f>
        <v/>
      </c>
    </row>
    <row r="478" spans="7:11" x14ac:dyDescent="0.25">
      <c r="G478" s="12" t="str">
        <f t="shared" si="21"/>
        <v/>
      </c>
      <c r="I478" s="12" t="str">
        <f t="shared" si="22"/>
        <v/>
      </c>
      <c r="J478" s="12" t="str">
        <f t="shared" si="23"/>
        <v/>
      </c>
      <c r="K478" s="12" t="str">
        <f>IFERROR((E478 - VLOOKUP(C478, 'Stock Entry'!B:E, 4, FALSE)) * D478, "")</f>
        <v/>
      </c>
    </row>
    <row r="479" spans="7:11" x14ac:dyDescent="0.25">
      <c r="G479" s="12" t="str">
        <f t="shared" si="21"/>
        <v/>
      </c>
      <c r="I479" s="12" t="str">
        <f t="shared" si="22"/>
        <v/>
      </c>
      <c r="J479" s="12" t="str">
        <f t="shared" si="23"/>
        <v/>
      </c>
      <c r="K479" s="12" t="str">
        <f>IFERROR((E479 - VLOOKUP(C479, 'Stock Entry'!B:E, 4, FALSE)) * D479, "")</f>
        <v/>
      </c>
    </row>
    <row r="480" spans="7:11" x14ac:dyDescent="0.25">
      <c r="G480" s="12" t="str">
        <f t="shared" si="21"/>
        <v/>
      </c>
      <c r="I480" s="12" t="str">
        <f t="shared" si="22"/>
        <v/>
      </c>
      <c r="J480" s="12" t="str">
        <f t="shared" si="23"/>
        <v/>
      </c>
      <c r="K480" s="12" t="str">
        <f>IFERROR((E480 - VLOOKUP(C480, 'Stock Entry'!B:E, 4, FALSE)) * D480, "")</f>
        <v/>
      </c>
    </row>
    <row r="481" spans="7:11" x14ac:dyDescent="0.25">
      <c r="G481" s="12" t="str">
        <f t="shared" si="21"/>
        <v/>
      </c>
      <c r="I481" s="12" t="str">
        <f t="shared" si="22"/>
        <v/>
      </c>
      <c r="J481" s="12" t="str">
        <f t="shared" si="23"/>
        <v/>
      </c>
      <c r="K481" s="12" t="str">
        <f>IFERROR((E481 - VLOOKUP(C481, 'Stock Entry'!B:E, 4, FALSE)) * D481, "")</f>
        <v/>
      </c>
    </row>
    <row r="482" spans="7:11" x14ac:dyDescent="0.25">
      <c r="G482" s="12" t="str">
        <f t="shared" si="21"/>
        <v/>
      </c>
      <c r="I482" s="12" t="str">
        <f t="shared" si="22"/>
        <v/>
      </c>
      <c r="J482" s="12" t="str">
        <f t="shared" si="23"/>
        <v/>
      </c>
      <c r="K482" s="12" t="str">
        <f>IFERROR((E482 - VLOOKUP(C482, 'Stock Entry'!B:E, 4, FALSE)) * D482, "")</f>
        <v/>
      </c>
    </row>
    <row r="483" spans="7:11" x14ac:dyDescent="0.25">
      <c r="G483" s="12" t="str">
        <f t="shared" si="21"/>
        <v/>
      </c>
      <c r="I483" s="12" t="str">
        <f t="shared" si="22"/>
        <v/>
      </c>
      <c r="J483" s="12" t="str">
        <f t="shared" si="23"/>
        <v/>
      </c>
      <c r="K483" s="12" t="str">
        <f>IFERROR((E483 - VLOOKUP(C483, 'Stock Entry'!B:E, 4, FALSE)) * D483, "")</f>
        <v/>
      </c>
    </row>
    <row r="484" spans="7:11" x14ac:dyDescent="0.25">
      <c r="G484" s="12" t="str">
        <f t="shared" si="21"/>
        <v/>
      </c>
      <c r="I484" s="12" t="str">
        <f t="shared" si="22"/>
        <v/>
      </c>
      <c r="J484" s="12" t="str">
        <f t="shared" si="23"/>
        <v/>
      </c>
      <c r="K484" s="12" t="str">
        <f>IFERROR((E484 - VLOOKUP(C484, 'Stock Entry'!B:E, 4, FALSE)) * D484, "")</f>
        <v/>
      </c>
    </row>
    <row r="485" spans="7:11" x14ac:dyDescent="0.25">
      <c r="G485" s="12" t="str">
        <f t="shared" si="21"/>
        <v/>
      </c>
      <c r="I485" s="12" t="str">
        <f t="shared" si="22"/>
        <v/>
      </c>
      <c r="J485" s="12" t="str">
        <f t="shared" si="23"/>
        <v/>
      </c>
      <c r="K485" s="12" t="str">
        <f>IFERROR((E485 - VLOOKUP(C485, 'Stock Entry'!B:E, 4, FALSE)) * D485, "")</f>
        <v/>
      </c>
    </row>
    <row r="486" spans="7:11" x14ac:dyDescent="0.25">
      <c r="G486" s="12" t="str">
        <f t="shared" si="21"/>
        <v/>
      </c>
      <c r="I486" s="12" t="str">
        <f t="shared" si="22"/>
        <v/>
      </c>
      <c r="J486" s="12" t="str">
        <f t="shared" si="23"/>
        <v/>
      </c>
      <c r="K486" s="12" t="str">
        <f>IFERROR((E486 - VLOOKUP(C486, 'Stock Entry'!B:E, 4, FALSE)) * D486, "")</f>
        <v/>
      </c>
    </row>
    <row r="487" spans="7:11" x14ac:dyDescent="0.25">
      <c r="G487" s="12" t="str">
        <f t="shared" si="21"/>
        <v/>
      </c>
      <c r="I487" s="12" t="str">
        <f t="shared" si="22"/>
        <v/>
      </c>
      <c r="J487" s="12" t="str">
        <f t="shared" si="23"/>
        <v/>
      </c>
      <c r="K487" s="12" t="str">
        <f>IFERROR((E487 - VLOOKUP(C487, 'Stock Entry'!B:E, 4, FALSE)) * D487, "")</f>
        <v/>
      </c>
    </row>
    <row r="488" spans="7:11" x14ac:dyDescent="0.25">
      <c r="G488" s="12" t="str">
        <f t="shared" si="21"/>
        <v/>
      </c>
      <c r="I488" s="12" t="str">
        <f t="shared" si="22"/>
        <v/>
      </c>
      <c r="J488" s="12" t="str">
        <f t="shared" si="23"/>
        <v/>
      </c>
      <c r="K488" s="12" t="str">
        <f>IFERROR((E488 - VLOOKUP(C488, 'Stock Entry'!B:E, 4, FALSE)) * D488, "")</f>
        <v/>
      </c>
    </row>
    <row r="489" spans="7:11" x14ac:dyDescent="0.25">
      <c r="G489" s="12" t="str">
        <f t="shared" si="21"/>
        <v/>
      </c>
      <c r="I489" s="12" t="str">
        <f t="shared" si="22"/>
        <v/>
      </c>
      <c r="J489" s="12" t="str">
        <f t="shared" si="23"/>
        <v/>
      </c>
      <c r="K489" s="12" t="str">
        <f>IFERROR((E489 - VLOOKUP(C489, 'Stock Entry'!B:E, 4, FALSE)) * D489, "")</f>
        <v/>
      </c>
    </row>
    <row r="490" spans="7:11" x14ac:dyDescent="0.25">
      <c r="G490" s="12" t="str">
        <f t="shared" si="21"/>
        <v/>
      </c>
      <c r="I490" s="12" t="str">
        <f t="shared" si="22"/>
        <v/>
      </c>
      <c r="J490" s="12" t="str">
        <f t="shared" si="23"/>
        <v/>
      </c>
      <c r="K490" s="12" t="str">
        <f>IFERROR((E490 - VLOOKUP(C490, 'Stock Entry'!B:E, 4, FALSE)) * D490, "")</f>
        <v/>
      </c>
    </row>
    <row r="491" spans="7:11" x14ac:dyDescent="0.25">
      <c r="G491" s="12" t="str">
        <f t="shared" si="21"/>
        <v/>
      </c>
      <c r="I491" s="12" t="str">
        <f t="shared" si="22"/>
        <v/>
      </c>
      <c r="J491" s="12" t="str">
        <f t="shared" si="23"/>
        <v/>
      </c>
      <c r="K491" s="12" t="str">
        <f>IFERROR((E491 - VLOOKUP(C491, 'Stock Entry'!B:E, 4, FALSE)) * D491, "")</f>
        <v/>
      </c>
    </row>
    <row r="492" spans="7:11" x14ac:dyDescent="0.25">
      <c r="G492" s="12" t="str">
        <f t="shared" si="21"/>
        <v/>
      </c>
      <c r="I492" s="12" t="str">
        <f t="shared" si="22"/>
        <v/>
      </c>
      <c r="J492" s="12" t="str">
        <f t="shared" si="23"/>
        <v/>
      </c>
      <c r="K492" s="12" t="str">
        <f>IFERROR((E492 - VLOOKUP(C492, 'Stock Entry'!B:E, 4, FALSE)) * D492, "")</f>
        <v/>
      </c>
    </row>
    <row r="493" spans="7:11" x14ac:dyDescent="0.25">
      <c r="G493" s="12" t="str">
        <f t="shared" si="21"/>
        <v/>
      </c>
      <c r="I493" s="12" t="str">
        <f t="shared" si="22"/>
        <v/>
      </c>
      <c r="J493" s="12" t="str">
        <f t="shared" si="23"/>
        <v/>
      </c>
      <c r="K493" s="12" t="str">
        <f>IFERROR((E493 - VLOOKUP(C493, 'Stock Entry'!B:E, 4, FALSE)) * D493, "")</f>
        <v/>
      </c>
    </row>
    <row r="494" spans="7:11" x14ac:dyDescent="0.25">
      <c r="G494" s="12" t="str">
        <f t="shared" si="21"/>
        <v/>
      </c>
      <c r="I494" s="12" t="str">
        <f t="shared" si="22"/>
        <v/>
      </c>
      <c r="J494" s="12" t="str">
        <f t="shared" si="23"/>
        <v/>
      </c>
      <c r="K494" s="12" t="str">
        <f>IFERROR((E494 - VLOOKUP(C494, 'Stock Entry'!B:E, 4, FALSE)) * D494, "")</f>
        <v/>
      </c>
    </row>
    <row r="495" spans="7:11" x14ac:dyDescent="0.25">
      <c r="G495" s="12" t="str">
        <f t="shared" si="21"/>
        <v/>
      </c>
      <c r="I495" s="12" t="str">
        <f t="shared" si="22"/>
        <v/>
      </c>
      <c r="J495" s="12" t="str">
        <f t="shared" si="23"/>
        <v/>
      </c>
      <c r="K495" s="12" t="str">
        <f>IFERROR((E495 - VLOOKUP(C495, 'Stock Entry'!B:E, 4, FALSE)) * D495, "")</f>
        <v/>
      </c>
    </row>
    <row r="496" spans="7:11" x14ac:dyDescent="0.25">
      <c r="G496" s="12" t="str">
        <f t="shared" si="21"/>
        <v/>
      </c>
      <c r="I496" s="12" t="str">
        <f t="shared" si="22"/>
        <v/>
      </c>
      <c r="J496" s="12" t="str">
        <f t="shared" si="23"/>
        <v/>
      </c>
      <c r="K496" s="12" t="str">
        <f>IFERROR((E496 - VLOOKUP(C496, 'Stock Entry'!B:E, 4, FALSE)) * D496, "")</f>
        <v/>
      </c>
    </row>
    <row r="497" spans="7:11" x14ac:dyDescent="0.25">
      <c r="G497" s="12" t="str">
        <f t="shared" si="21"/>
        <v/>
      </c>
      <c r="I497" s="12" t="str">
        <f t="shared" si="22"/>
        <v/>
      </c>
      <c r="J497" s="12" t="str">
        <f t="shared" si="23"/>
        <v/>
      </c>
      <c r="K497" s="12" t="str">
        <f>IFERROR((E497 - VLOOKUP(C497, 'Stock Entry'!B:E, 4, FALSE)) * D497, "")</f>
        <v/>
      </c>
    </row>
    <row r="498" spans="7:11" x14ac:dyDescent="0.25">
      <c r="G498" s="12" t="str">
        <f t="shared" si="21"/>
        <v/>
      </c>
      <c r="I498" s="12" t="str">
        <f t="shared" si="22"/>
        <v/>
      </c>
      <c r="J498" s="12" t="str">
        <f t="shared" si="23"/>
        <v/>
      </c>
      <c r="K498" s="12" t="str">
        <f>IFERROR((E498 - VLOOKUP(C498, 'Stock Entry'!B:E, 4, FALSE)) * D498, "")</f>
        <v/>
      </c>
    </row>
    <row r="499" spans="7:11" x14ac:dyDescent="0.25">
      <c r="G499" s="12" t="str">
        <f t="shared" si="21"/>
        <v/>
      </c>
      <c r="I499" s="12" t="str">
        <f t="shared" si="22"/>
        <v/>
      </c>
      <c r="J499" s="12" t="str">
        <f t="shared" si="23"/>
        <v/>
      </c>
      <c r="K499" s="12" t="str">
        <f>IFERROR((E499 - VLOOKUP(C499, 'Stock Entry'!B:E, 4, FALSE)) * D499, "")</f>
        <v/>
      </c>
    </row>
    <row r="500" spans="7:11" x14ac:dyDescent="0.25">
      <c r="G500" s="12" t="str">
        <f t="shared" si="21"/>
        <v/>
      </c>
      <c r="I500" s="12" t="str">
        <f t="shared" si="22"/>
        <v/>
      </c>
      <c r="J500" s="12" t="str">
        <f t="shared" si="23"/>
        <v/>
      </c>
      <c r="K500" s="12" t="str">
        <f>IFERROR((E500 - VLOOKUP(C500, 'Stock Entry'!B:E, 4, FALSE)) * D500, "")</f>
        <v/>
      </c>
    </row>
    <row r="501" spans="7:11" x14ac:dyDescent="0.25">
      <c r="G501" s="12" t="str">
        <f t="shared" si="21"/>
        <v/>
      </c>
      <c r="I501" s="12" t="str">
        <f t="shared" si="22"/>
        <v/>
      </c>
      <c r="J501" s="12" t="str">
        <f t="shared" si="23"/>
        <v/>
      </c>
      <c r="K501" s="12" t="str">
        <f>IFERROR((E501 - VLOOKUP(C501, 'Stock Entry'!B:E, 4, FALSE)) * D501, "")</f>
        <v/>
      </c>
    </row>
    <row r="502" spans="7:11" x14ac:dyDescent="0.25">
      <c r="G502" s="12" t="str">
        <f t="shared" si="21"/>
        <v/>
      </c>
      <c r="I502" s="12" t="str">
        <f t="shared" si="22"/>
        <v/>
      </c>
      <c r="J502" s="12" t="str">
        <f t="shared" si="23"/>
        <v/>
      </c>
      <c r="K502" s="12" t="str">
        <f>IFERROR((E502 - VLOOKUP(C502, 'Stock Entry'!B:E, 4, FALSE)) * D502, "")</f>
        <v/>
      </c>
    </row>
    <row r="503" spans="7:11" x14ac:dyDescent="0.25">
      <c r="G503" s="12" t="str">
        <f t="shared" si="21"/>
        <v/>
      </c>
      <c r="I503" s="12" t="str">
        <f t="shared" si="22"/>
        <v/>
      </c>
      <c r="J503" s="12" t="str">
        <f t="shared" si="23"/>
        <v/>
      </c>
      <c r="K503" s="12" t="str">
        <f>IFERROR((E503 - VLOOKUP(C503, 'Stock Entry'!B:E, 4, FALSE)) * D503, "")</f>
        <v/>
      </c>
    </row>
    <row r="504" spans="7:11" x14ac:dyDescent="0.25">
      <c r="G504" s="12" t="str">
        <f t="shared" si="21"/>
        <v/>
      </c>
      <c r="I504" s="12" t="str">
        <f t="shared" si="22"/>
        <v/>
      </c>
      <c r="J504" s="12" t="str">
        <f t="shared" si="23"/>
        <v/>
      </c>
      <c r="K504" s="12" t="str">
        <f>IFERROR((E504 - VLOOKUP(C504, 'Stock Entry'!B:E, 4, FALSE)) * D504, "")</f>
        <v/>
      </c>
    </row>
    <row r="505" spans="7:11" x14ac:dyDescent="0.25">
      <c r="G505" s="12" t="str">
        <f t="shared" si="21"/>
        <v/>
      </c>
      <c r="I505" s="12" t="str">
        <f t="shared" si="22"/>
        <v/>
      </c>
      <c r="J505" s="12" t="str">
        <f t="shared" si="23"/>
        <v/>
      </c>
      <c r="K505" s="12" t="str">
        <f>IFERROR((E505 - VLOOKUP(C505, 'Stock Entry'!B:E, 4, FALSE)) * D505, "")</f>
        <v/>
      </c>
    </row>
    <row r="506" spans="7:11" x14ac:dyDescent="0.25">
      <c r="G506" s="12" t="str">
        <f t="shared" si="21"/>
        <v/>
      </c>
      <c r="I506" s="12" t="str">
        <f t="shared" si="22"/>
        <v/>
      </c>
      <c r="J506" s="12" t="str">
        <f t="shared" si="23"/>
        <v/>
      </c>
      <c r="K506" s="12" t="str">
        <f>IFERROR((E506 - VLOOKUP(C506, 'Stock Entry'!B:E, 4, FALSE)) * D506, "")</f>
        <v/>
      </c>
    </row>
    <row r="507" spans="7:11" x14ac:dyDescent="0.25">
      <c r="G507" s="12" t="str">
        <f t="shared" si="21"/>
        <v/>
      </c>
      <c r="I507" s="12" t="str">
        <f t="shared" si="22"/>
        <v/>
      </c>
      <c r="J507" s="12" t="str">
        <f t="shared" si="23"/>
        <v/>
      </c>
      <c r="K507" s="12" t="str">
        <f>IFERROR((E507 - VLOOKUP(C507, 'Stock Entry'!B:E, 4, FALSE)) * D507, "")</f>
        <v/>
      </c>
    </row>
    <row r="508" spans="7:11" x14ac:dyDescent="0.25">
      <c r="G508" s="12" t="str">
        <f t="shared" si="21"/>
        <v/>
      </c>
      <c r="I508" s="12" t="str">
        <f t="shared" si="22"/>
        <v/>
      </c>
      <c r="J508" s="12" t="str">
        <f t="shared" si="23"/>
        <v/>
      </c>
      <c r="K508" s="12" t="str">
        <f>IFERROR((E508 - VLOOKUP(C508, 'Stock Entry'!B:E, 4, FALSE)) * D508, "")</f>
        <v/>
      </c>
    </row>
    <row r="509" spans="7:11" x14ac:dyDescent="0.25">
      <c r="G509" s="12" t="str">
        <f t="shared" si="21"/>
        <v/>
      </c>
      <c r="I509" s="12" t="str">
        <f t="shared" si="22"/>
        <v/>
      </c>
      <c r="J509" s="12" t="str">
        <f t="shared" si="23"/>
        <v/>
      </c>
      <c r="K509" s="12" t="str">
        <f>IFERROR((E509 - VLOOKUP(C509, 'Stock Entry'!B:E, 4, FALSE)) * D509, "")</f>
        <v/>
      </c>
    </row>
    <row r="510" spans="7:11" x14ac:dyDescent="0.25">
      <c r="G510" s="12" t="str">
        <f t="shared" si="21"/>
        <v/>
      </c>
      <c r="I510" s="12" t="str">
        <f t="shared" si="22"/>
        <v/>
      </c>
      <c r="J510" s="12" t="str">
        <f t="shared" si="23"/>
        <v/>
      </c>
      <c r="K510" s="12" t="str">
        <f>IFERROR((E510 - VLOOKUP(C510, 'Stock Entry'!B:E, 4, FALSE)) * D510, "")</f>
        <v/>
      </c>
    </row>
    <row r="511" spans="7:11" x14ac:dyDescent="0.25">
      <c r="G511" s="12" t="str">
        <f t="shared" si="21"/>
        <v/>
      </c>
      <c r="I511" s="12" t="str">
        <f t="shared" si="22"/>
        <v/>
      </c>
      <c r="J511" s="12" t="str">
        <f t="shared" si="23"/>
        <v/>
      </c>
      <c r="K511" s="12" t="str">
        <f>IFERROR((E511 - VLOOKUP(C511, 'Stock Entry'!B:E, 4, FALSE)) * D511, "")</f>
        <v/>
      </c>
    </row>
    <row r="512" spans="7:11" x14ac:dyDescent="0.25">
      <c r="G512" s="12" t="str">
        <f t="shared" si="21"/>
        <v/>
      </c>
      <c r="I512" s="12" t="str">
        <f t="shared" si="22"/>
        <v/>
      </c>
      <c r="J512" s="12" t="str">
        <f t="shared" si="23"/>
        <v/>
      </c>
      <c r="K512" s="12" t="str">
        <f>IFERROR((E512 - VLOOKUP(C512, 'Stock Entry'!B:E, 4, FALSE)) * D512, "")</f>
        <v/>
      </c>
    </row>
    <row r="513" spans="7:11" x14ac:dyDescent="0.25">
      <c r="G513" s="12" t="str">
        <f t="shared" si="21"/>
        <v/>
      </c>
      <c r="I513" s="12" t="str">
        <f t="shared" si="22"/>
        <v/>
      </c>
      <c r="J513" s="12" t="str">
        <f t="shared" si="23"/>
        <v/>
      </c>
      <c r="K513" s="12" t="str">
        <f>IFERROR((E513 - VLOOKUP(C513, 'Stock Entry'!B:E, 4, FALSE)) * D513, "")</f>
        <v/>
      </c>
    </row>
    <row r="514" spans="7:11" x14ac:dyDescent="0.25">
      <c r="G514" s="12" t="str">
        <f t="shared" si="21"/>
        <v/>
      </c>
      <c r="I514" s="12" t="str">
        <f t="shared" si="22"/>
        <v/>
      </c>
      <c r="J514" s="12" t="str">
        <f t="shared" si="23"/>
        <v/>
      </c>
      <c r="K514" s="12" t="str">
        <f>IFERROR((E514 - VLOOKUP(C514, 'Stock Entry'!B:E, 4, FALSE)) * D514, "")</f>
        <v/>
      </c>
    </row>
    <row r="515" spans="7:11" x14ac:dyDescent="0.25">
      <c r="G515" s="12" t="str">
        <f t="shared" ref="G515:G578" si="24">IF(F515="Full Cash", D515*E515, "")</f>
        <v/>
      </c>
      <c r="I515" s="12" t="str">
        <f t="shared" ref="I515:I578" si="25">IF(F515="Full Credit",D515*E515,IF(F515="Partly Payment",(D515*E515)-H515,""))</f>
        <v/>
      </c>
      <c r="J515" s="12" t="str">
        <f t="shared" ref="J515:J578" si="26">IF(F515="Full Cash", G515, IF(F515="Full Credit", I515, IF(F515="Partly Payment", H515+I515, "")))</f>
        <v/>
      </c>
      <c r="K515" s="12" t="str">
        <f>IFERROR((E515 - VLOOKUP(C515, 'Stock Entry'!B:E, 4, FALSE)) * D515, "")</f>
        <v/>
      </c>
    </row>
    <row r="516" spans="7:11" x14ac:dyDescent="0.25">
      <c r="G516" s="12" t="str">
        <f t="shared" si="24"/>
        <v/>
      </c>
      <c r="I516" s="12" t="str">
        <f t="shared" si="25"/>
        <v/>
      </c>
      <c r="J516" s="12" t="str">
        <f t="shared" si="26"/>
        <v/>
      </c>
      <c r="K516" s="12" t="str">
        <f>IFERROR((E516 - VLOOKUP(C516, 'Stock Entry'!B:E, 4, FALSE)) * D516, "")</f>
        <v/>
      </c>
    </row>
    <row r="517" spans="7:11" x14ac:dyDescent="0.25">
      <c r="G517" s="12" t="str">
        <f t="shared" si="24"/>
        <v/>
      </c>
      <c r="I517" s="12" t="str">
        <f t="shared" si="25"/>
        <v/>
      </c>
      <c r="J517" s="12" t="str">
        <f t="shared" si="26"/>
        <v/>
      </c>
      <c r="K517" s="12" t="str">
        <f>IFERROR((E517 - VLOOKUP(C517, 'Stock Entry'!B:E, 4, FALSE)) * D517, "")</f>
        <v/>
      </c>
    </row>
    <row r="518" spans="7:11" x14ac:dyDescent="0.25">
      <c r="G518" s="12" t="str">
        <f t="shared" si="24"/>
        <v/>
      </c>
      <c r="I518" s="12" t="str">
        <f t="shared" si="25"/>
        <v/>
      </c>
      <c r="J518" s="12" t="str">
        <f t="shared" si="26"/>
        <v/>
      </c>
      <c r="K518" s="12" t="str">
        <f>IFERROR((E518 - VLOOKUP(C518, 'Stock Entry'!B:E, 4, FALSE)) * D518, "")</f>
        <v/>
      </c>
    </row>
    <row r="519" spans="7:11" x14ac:dyDescent="0.25">
      <c r="G519" s="12" t="str">
        <f t="shared" si="24"/>
        <v/>
      </c>
      <c r="I519" s="12" t="str">
        <f t="shared" si="25"/>
        <v/>
      </c>
      <c r="J519" s="12" t="str">
        <f t="shared" si="26"/>
        <v/>
      </c>
      <c r="K519" s="12" t="str">
        <f>IFERROR((E519 - VLOOKUP(C519, 'Stock Entry'!B:E, 4, FALSE)) * D519, "")</f>
        <v/>
      </c>
    </row>
    <row r="520" spans="7:11" x14ac:dyDescent="0.25">
      <c r="G520" s="12" t="str">
        <f t="shared" si="24"/>
        <v/>
      </c>
      <c r="I520" s="12" t="str">
        <f t="shared" si="25"/>
        <v/>
      </c>
      <c r="J520" s="12" t="str">
        <f t="shared" si="26"/>
        <v/>
      </c>
      <c r="K520" s="12" t="str">
        <f>IFERROR((E520 - VLOOKUP(C520, 'Stock Entry'!B:E, 4, FALSE)) * D520, "")</f>
        <v/>
      </c>
    </row>
    <row r="521" spans="7:11" x14ac:dyDescent="0.25">
      <c r="G521" s="12" t="str">
        <f t="shared" si="24"/>
        <v/>
      </c>
      <c r="I521" s="12" t="str">
        <f t="shared" si="25"/>
        <v/>
      </c>
      <c r="J521" s="12" t="str">
        <f t="shared" si="26"/>
        <v/>
      </c>
      <c r="K521" s="12" t="str">
        <f>IFERROR((E521 - VLOOKUP(C521, 'Stock Entry'!B:E, 4, FALSE)) * D521, "")</f>
        <v/>
      </c>
    </row>
    <row r="522" spans="7:11" x14ac:dyDescent="0.25">
      <c r="G522" s="12" t="str">
        <f t="shared" si="24"/>
        <v/>
      </c>
      <c r="I522" s="12" t="str">
        <f t="shared" si="25"/>
        <v/>
      </c>
      <c r="J522" s="12" t="str">
        <f t="shared" si="26"/>
        <v/>
      </c>
      <c r="K522" s="12" t="str">
        <f>IFERROR((E522 - VLOOKUP(C522, 'Stock Entry'!B:E, 4, FALSE)) * D522, "")</f>
        <v/>
      </c>
    </row>
    <row r="523" spans="7:11" x14ac:dyDescent="0.25">
      <c r="G523" s="12" t="str">
        <f t="shared" si="24"/>
        <v/>
      </c>
      <c r="I523" s="12" t="str">
        <f t="shared" si="25"/>
        <v/>
      </c>
      <c r="J523" s="12" t="str">
        <f t="shared" si="26"/>
        <v/>
      </c>
      <c r="K523" s="12" t="str">
        <f>IFERROR((E523 - VLOOKUP(C523, 'Stock Entry'!B:E, 4, FALSE)) * D523, "")</f>
        <v/>
      </c>
    </row>
    <row r="524" spans="7:11" x14ac:dyDescent="0.25">
      <c r="G524" s="12" t="str">
        <f t="shared" si="24"/>
        <v/>
      </c>
      <c r="I524" s="12" t="str">
        <f t="shared" si="25"/>
        <v/>
      </c>
      <c r="J524" s="12" t="str">
        <f t="shared" si="26"/>
        <v/>
      </c>
      <c r="K524" s="12" t="str">
        <f>IFERROR((E524 - VLOOKUP(C524, 'Stock Entry'!B:E, 4, FALSE)) * D524, "")</f>
        <v/>
      </c>
    </row>
    <row r="525" spans="7:11" x14ac:dyDescent="0.25">
      <c r="G525" s="12" t="str">
        <f t="shared" si="24"/>
        <v/>
      </c>
      <c r="I525" s="12" t="str">
        <f t="shared" si="25"/>
        <v/>
      </c>
      <c r="J525" s="12" t="str">
        <f t="shared" si="26"/>
        <v/>
      </c>
      <c r="K525" s="12" t="str">
        <f>IFERROR((E525 - VLOOKUP(C525, 'Stock Entry'!B:E, 4, FALSE)) * D525, "")</f>
        <v/>
      </c>
    </row>
    <row r="526" spans="7:11" x14ac:dyDescent="0.25">
      <c r="G526" s="12" t="str">
        <f t="shared" si="24"/>
        <v/>
      </c>
      <c r="I526" s="12" t="str">
        <f t="shared" si="25"/>
        <v/>
      </c>
      <c r="J526" s="12" t="str">
        <f t="shared" si="26"/>
        <v/>
      </c>
      <c r="K526" s="12" t="str">
        <f>IFERROR((E526 - VLOOKUP(C526, 'Stock Entry'!B:E, 4, FALSE)) * D526, "")</f>
        <v/>
      </c>
    </row>
    <row r="527" spans="7:11" x14ac:dyDescent="0.25">
      <c r="G527" s="12" t="str">
        <f t="shared" si="24"/>
        <v/>
      </c>
      <c r="I527" s="12" t="str">
        <f t="shared" si="25"/>
        <v/>
      </c>
      <c r="J527" s="12" t="str">
        <f t="shared" si="26"/>
        <v/>
      </c>
      <c r="K527" s="12" t="str">
        <f>IFERROR((E527 - VLOOKUP(C527, 'Stock Entry'!B:E, 4, FALSE)) * D527, "")</f>
        <v/>
      </c>
    </row>
    <row r="528" spans="7:11" x14ac:dyDescent="0.25">
      <c r="G528" s="12" t="str">
        <f t="shared" si="24"/>
        <v/>
      </c>
      <c r="I528" s="12" t="str">
        <f t="shared" si="25"/>
        <v/>
      </c>
      <c r="J528" s="12" t="str">
        <f t="shared" si="26"/>
        <v/>
      </c>
      <c r="K528" s="12" t="str">
        <f>IFERROR((E528 - VLOOKUP(C528, 'Stock Entry'!B:E, 4, FALSE)) * D528, "")</f>
        <v/>
      </c>
    </row>
    <row r="529" spans="7:11" x14ac:dyDescent="0.25">
      <c r="G529" s="12" t="str">
        <f t="shared" si="24"/>
        <v/>
      </c>
      <c r="I529" s="12" t="str">
        <f t="shared" si="25"/>
        <v/>
      </c>
      <c r="J529" s="12" t="str">
        <f t="shared" si="26"/>
        <v/>
      </c>
      <c r="K529" s="12" t="str">
        <f>IFERROR((E529 - VLOOKUP(C529, 'Stock Entry'!B:E, 4, FALSE)) * D529, "")</f>
        <v/>
      </c>
    </row>
    <row r="530" spans="7:11" x14ac:dyDescent="0.25">
      <c r="G530" s="12" t="str">
        <f t="shared" si="24"/>
        <v/>
      </c>
      <c r="I530" s="12" t="str">
        <f t="shared" si="25"/>
        <v/>
      </c>
      <c r="J530" s="12" t="str">
        <f t="shared" si="26"/>
        <v/>
      </c>
      <c r="K530" s="12" t="str">
        <f>IFERROR((E530 - VLOOKUP(C530, 'Stock Entry'!B:E, 4, FALSE)) * D530, "")</f>
        <v/>
      </c>
    </row>
    <row r="531" spans="7:11" x14ac:dyDescent="0.25">
      <c r="G531" s="12" t="str">
        <f t="shared" si="24"/>
        <v/>
      </c>
      <c r="I531" s="12" t="str">
        <f t="shared" si="25"/>
        <v/>
      </c>
      <c r="J531" s="12" t="str">
        <f t="shared" si="26"/>
        <v/>
      </c>
      <c r="K531" s="12" t="str">
        <f>IFERROR((E531 - VLOOKUP(C531, 'Stock Entry'!B:E, 4, FALSE)) * D531, "")</f>
        <v/>
      </c>
    </row>
    <row r="532" spans="7:11" x14ac:dyDescent="0.25">
      <c r="G532" s="12" t="str">
        <f t="shared" si="24"/>
        <v/>
      </c>
      <c r="I532" s="12" t="str">
        <f t="shared" si="25"/>
        <v/>
      </c>
      <c r="J532" s="12" t="str">
        <f t="shared" si="26"/>
        <v/>
      </c>
      <c r="K532" s="12" t="str">
        <f>IFERROR((E532 - VLOOKUP(C532, 'Stock Entry'!B:E, 4, FALSE)) * D532, "")</f>
        <v/>
      </c>
    </row>
    <row r="533" spans="7:11" x14ac:dyDescent="0.25">
      <c r="G533" s="12" t="str">
        <f t="shared" si="24"/>
        <v/>
      </c>
      <c r="I533" s="12" t="str">
        <f t="shared" si="25"/>
        <v/>
      </c>
      <c r="J533" s="12" t="str">
        <f t="shared" si="26"/>
        <v/>
      </c>
      <c r="K533" s="12" t="str">
        <f>IFERROR((E533 - VLOOKUP(C533, 'Stock Entry'!B:E, 4, FALSE)) * D533, "")</f>
        <v/>
      </c>
    </row>
    <row r="534" spans="7:11" x14ac:dyDescent="0.25">
      <c r="G534" s="12" t="str">
        <f t="shared" si="24"/>
        <v/>
      </c>
      <c r="I534" s="12" t="str">
        <f t="shared" si="25"/>
        <v/>
      </c>
      <c r="J534" s="12" t="str">
        <f t="shared" si="26"/>
        <v/>
      </c>
      <c r="K534" s="12" t="str">
        <f>IFERROR((E534 - VLOOKUP(C534, 'Stock Entry'!B:E, 4, FALSE)) * D534, "")</f>
        <v/>
      </c>
    </row>
    <row r="535" spans="7:11" x14ac:dyDescent="0.25">
      <c r="G535" s="12" t="str">
        <f t="shared" si="24"/>
        <v/>
      </c>
      <c r="I535" s="12" t="str">
        <f t="shared" si="25"/>
        <v/>
      </c>
      <c r="J535" s="12" t="str">
        <f t="shared" si="26"/>
        <v/>
      </c>
      <c r="K535" s="12" t="str">
        <f>IFERROR((E535 - VLOOKUP(C535, 'Stock Entry'!B:E, 4, FALSE)) * D535, "")</f>
        <v/>
      </c>
    </row>
    <row r="536" spans="7:11" x14ac:dyDescent="0.25">
      <c r="G536" s="12" t="str">
        <f t="shared" si="24"/>
        <v/>
      </c>
      <c r="I536" s="12" t="str">
        <f t="shared" si="25"/>
        <v/>
      </c>
      <c r="J536" s="12" t="str">
        <f t="shared" si="26"/>
        <v/>
      </c>
      <c r="K536" s="12" t="str">
        <f>IFERROR((E536 - VLOOKUP(C536, 'Stock Entry'!B:E, 4, FALSE)) * D536, "")</f>
        <v/>
      </c>
    </row>
    <row r="537" spans="7:11" x14ac:dyDescent="0.25">
      <c r="G537" s="12" t="str">
        <f t="shared" si="24"/>
        <v/>
      </c>
      <c r="I537" s="12" t="str">
        <f t="shared" si="25"/>
        <v/>
      </c>
      <c r="J537" s="12" t="str">
        <f t="shared" si="26"/>
        <v/>
      </c>
      <c r="K537" s="12" t="str">
        <f>IFERROR((E537 - VLOOKUP(C537, 'Stock Entry'!B:E, 4, FALSE)) * D537, "")</f>
        <v/>
      </c>
    </row>
    <row r="538" spans="7:11" x14ac:dyDescent="0.25">
      <c r="G538" s="12" t="str">
        <f t="shared" si="24"/>
        <v/>
      </c>
      <c r="I538" s="12" t="str">
        <f t="shared" si="25"/>
        <v/>
      </c>
      <c r="J538" s="12" t="str">
        <f t="shared" si="26"/>
        <v/>
      </c>
      <c r="K538" s="12" t="str">
        <f>IFERROR((E538 - VLOOKUP(C538, 'Stock Entry'!B:E, 4, FALSE)) * D538, "")</f>
        <v/>
      </c>
    </row>
    <row r="539" spans="7:11" x14ac:dyDescent="0.25">
      <c r="G539" s="12" t="str">
        <f t="shared" si="24"/>
        <v/>
      </c>
      <c r="I539" s="12" t="str">
        <f t="shared" si="25"/>
        <v/>
      </c>
      <c r="J539" s="12" t="str">
        <f t="shared" si="26"/>
        <v/>
      </c>
      <c r="K539" s="12" t="str">
        <f>IFERROR((E539 - VLOOKUP(C539, 'Stock Entry'!B:E, 4, FALSE)) * D539, "")</f>
        <v/>
      </c>
    </row>
    <row r="540" spans="7:11" x14ac:dyDescent="0.25">
      <c r="G540" s="12" t="str">
        <f t="shared" si="24"/>
        <v/>
      </c>
      <c r="I540" s="12" t="str">
        <f t="shared" si="25"/>
        <v/>
      </c>
      <c r="J540" s="12" t="str">
        <f t="shared" si="26"/>
        <v/>
      </c>
      <c r="K540" s="12" t="str">
        <f>IFERROR((E540 - VLOOKUP(C540, 'Stock Entry'!B:E, 4, FALSE)) * D540, "")</f>
        <v/>
      </c>
    </row>
    <row r="541" spans="7:11" x14ac:dyDescent="0.25">
      <c r="G541" s="12" t="str">
        <f t="shared" si="24"/>
        <v/>
      </c>
      <c r="I541" s="12" t="str">
        <f t="shared" si="25"/>
        <v/>
      </c>
      <c r="J541" s="12" t="str">
        <f t="shared" si="26"/>
        <v/>
      </c>
      <c r="K541" s="12" t="str">
        <f>IFERROR((E541 - VLOOKUP(C541, 'Stock Entry'!B:E, 4, FALSE)) * D541, "")</f>
        <v/>
      </c>
    </row>
    <row r="542" spans="7:11" x14ac:dyDescent="0.25">
      <c r="G542" s="12" t="str">
        <f t="shared" si="24"/>
        <v/>
      </c>
      <c r="I542" s="12" t="str">
        <f t="shared" si="25"/>
        <v/>
      </c>
      <c r="J542" s="12" t="str">
        <f t="shared" si="26"/>
        <v/>
      </c>
      <c r="K542" s="12" t="str">
        <f>IFERROR((E542 - VLOOKUP(C542, 'Stock Entry'!B:E, 4, FALSE)) * D542, "")</f>
        <v/>
      </c>
    </row>
    <row r="543" spans="7:11" x14ac:dyDescent="0.25">
      <c r="G543" s="12" t="str">
        <f t="shared" si="24"/>
        <v/>
      </c>
      <c r="I543" s="12" t="str">
        <f t="shared" si="25"/>
        <v/>
      </c>
      <c r="J543" s="12" t="str">
        <f t="shared" si="26"/>
        <v/>
      </c>
      <c r="K543" s="12" t="str">
        <f>IFERROR((E543 - VLOOKUP(C543, 'Stock Entry'!B:E, 4, FALSE)) * D543, "")</f>
        <v/>
      </c>
    </row>
    <row r="544" spans="7:11" x14ac:dyDescent="0.25">
      <c r="G544" s="12" t="str">
        <f t="shared" si="24"/>
        <v/>
      </c>
      <c r="I544" s="12" t="str">
        <f t="shared" si="25"/>
        <v/>
      </c>
      <c r="J544" s="12" t="str">
        <f t="shared" si="26"/>
        <v/>
      </c>
      <c r="K544" s="12" t="str">
        <f>IFERROR((E544 - VLOOKUP(C544, 'Stock Entry'!B:E, 4, FALSE)) * D544, "")</f>
        <v/>
      </c>
    </row>
    <row r="545" spans="7:11" x14ac:dyDescent="0.25">
      <c r="G545" s="12" t="str">
        <f t="shared" si="24"/>
        <v/>
      </c>
      <c r="I545" s="12" t="str">
        <f t="shared" si="25"/>
        <v/>
      </c>
      <c r="J545" s="12" t="str">
        <f t="shared" si="26"/>
        <v/>
      </c>
      <c r="K545" s="12" t="str">
        <f>IFERROR((E545 - VLOOKUP(C545, 'Stock Entry'!B:E, 4, FALSE)) * D545, "")</f>
        <v/>
      </c>
    </row>
    <row r="546" spans="7:11" x14ac:dyDescent="0.25">
      <c r="G546" s="12" t="str">
        <f t="shared" si="24"/>
        <v/>
      </c>
      <c r="I546" s="12" t="str">
        <f t="shared" si="25"/>
        <v/>
      </c>
      <c r="J546" s="12" t="str">
        <f t="shared" si="26"/>
        <v/>
      </c>
      <c r="K546" s="12" t="str">
        <f>IFERROR((E546 - VLOOKUP(C546, 'Stock Entry'!B:E, 4, FALSE)) * D546, "")</f>
        <v/>
      </c>
    </row>
    <row r="547" spans="7:11" x14ac:dyDescent="0.25">
      <c r="G547" s="12" t="str">
        <f t="shared" si="24"/>
        <v/>
      </c>
      <c r="I547" s="12" t="str">
        <f t="shared" si="25"/>
        <v/>
      </c>
      <c r="J547" s="12" t="str">
        <f t="shared" si="26"/>
        <v/>
      </c>
      <c r="K547" s="12" t="str">
        <f>IFERROR((E547 - VLOOKUP(C547, 'Stock Entry'!B:E, 4, FALSE)) * D547, "")</f>
        <v/>
      </c>
    </row>
    <row r="548" spans="7:11" x14ac:dyDescent="0.25">
      <c r="G548" s="12" t="str">
        <f t="shared" si="24"/>
        <v/>
      </c>
      <c r="I548" s="12" t="str">
        <f t="shared" si="25"/>
        <v/>
      </c>
      <c r="J548" s="12" t="str">
        <f t="shared" si="26"/>
        <v/>
      </c>
      <c r="K548" s="12" t="str">
        <f>IFERROR((E548 - VLOOKUP(C548, 'Stock Entry'!B:E, 4, FALSE)) * D548, "")</f>
        <v/>
      </c>
    </row>
    <row r="549" spans="7:11" x14ac:dyDescent="0.25">
      <c r="G549" s="12" t="str">
        <f t="shared" si="24"/>
        <v/>
      </c>
      <c r="I549" s="12" t="str">
        <f t="shared" si="25"/>
        <v/>
      </c>
      <c r="J549" s="12" t="str">
        <f t="shared" si="26"/>
        <v/>
      </c>
      <c r="K549" s="12" t="str">
        <f>IFERROR((E549 - VLOOKUP(C549, 'Stock Entry'!B:E, 4, FALSE)) * D549, "")</f>
        <v/>
      </c>
    </row>
    <row r="550" spans="7:11" x14ac:dyDescent="0.25">
      <c r="G550" s="12" t="str">
        <f t="shared" si="24"/>
        <v/>
      </c>
      <c r="I550" s="12" t="str">
        <f t="shared" si="25"/>
        <v/>
      </c>
      <c r="J550" s="12" t="str">
        <f t="shared" si="26"/>
        <v/>
      </c>
      <c r="K550" s="12" t="str">
        <f>IFERROR((E550 - VLOOKUP(C550, 'Stock Entry'!B:E, 4, FALSE)) * D550, "")</f>
        <v/>
      </c>
    </row>
    <row r="551" spans="7:11" x14ac:dyDescent="0.25">
      <c r="G551" s="12" t="str">
        <f t="shared" si="24"/>
        <v/>
      </c>
      <c r="I551" s="12" t="str">
        <f t="shared" si="25"/>
        <v/>
      </c>
      <c r="J551" s="12" t="str">
        <f t="shared" si="26"/>
        <v/>
      </c>
      <c r="K551" s="12" t="str">
        <f>IFERROR((E551 - VLOOKUP(C551, 'Stock Entry'!B:E, 4, FALSE)) * D551, "")</f>
        <v/>
      </c>
    </row>
    <row r="552" spans="7:11" x14ac:dyDescent="0.25">
      <c r="G552" s="12" t="str">
        <f t="shared" si="24"/>
        <v/>
      </c>
      <c r="I552" s="12" t="str">
        <f t="shared" si="25"/>
        <v/>
      </c>
      <c r="J552" s="12" t="str">
        <f t="shared" si="26"/>
        <v/>
      </c>
      <c r="K552" s="12" t="str">
        <f>IFERROR((E552 - VLOOKUP(C552, 'Stock Entry'!B:E, 4, FALSE)) * D552, "")</f>
        <v/>
      </c>
    </row>
    <row r="553" spans="7:11" x14ac:dyDescent="0.25">
      <c r="G553" s="12" t="str">
        <f t="shared" si="24"/>
        <v/>
      </c>
      <c r="I553" s="12" t="str">
        <f t="shared" si="25"/>
        <v/>
      </c>
      <c r="J553" s="12" t="str">
        <f t="shared" si="26"/>
        <v/>
      </c>
      <c r="K553" s="12" t="str">
        <f>IFERROR((E553 - VLOOKUP(C553, 'Stock Entry'!B:E, 4, FALSE)) * D553, "")</f>
        <v/>
      </c>
    </row>
    <row r="554" spans="7:11" x14ac:dyDescent="0.25">
      <c r="G554" s="12" t="str">
        <f t="shared" si="24"/>
        <v/>
      </c>
      <c r="I554" s="12" t="str">
        <f t="shared" si="25"/>
        <v/>
      </c>
      <c r="J554" s="12" t="str">
        <f t="shared" si="26"/>
        <v/>
      </c>
      <c r="K554" s="12" t="str">
        <f>IFERROR((E554 - VLOOKUP(C554, 'Stock Entry'!B:E, 4, FALSE)) * D554, "")</f>
        <v/>
      </c>
    </row>
    <row r="555" spans="7:11" x14ac:dyDescent="0.25">
      <c r="G555" s="12" t="str">
        <f t="shared" si="24"/>
        <v/>
      </c>
      <c r="I555" s="12" t="str">
        <f t="shared" si="25"/>
        <v/>
      </c>
      <c r="J555" s="12" t="str">
        <f t="shared" si="26"/>
        <v/>
      </c>
      <c r="K555" s="12" t="str">
        <f>IFERROR((E555 - VLOOKUP(C555, 'Stock Entry'!B:E, 4, FALSE)) * D555, "")</f>
        <v/>
      </c>
    </row>
    <row r="556" spans="7:11" x14ac:dyDescent="0.25">
      <c r="G556" s="12" t="str">
        <f t="shared" si="24"/>
        <v/>
      </c>
      <c r="I556" s="12" t="str">
        <f t="shared" si="25"/>
        <v/>
      </c>
      <c r="J556" s="12" t="str">
        <f t="shared" si="26"/>
        <v/>
      </c>
      <c r="K556" s="12" t="str">
        <f>IFERROR((E556 - VLOOKUP(C556, 'Stock Entry'!B:E, 4, FALSE)) * D556, "")</f>
        <v/>
      </c>
    </row>
    <row r="557" spans="7:11" x14ac:dyDescent="0.25">
      <c r="G557" s="12" t="str">
        <f t="shared" si="24"/>
        <v/>
      </c>
      <c r="I557" s="12" t="str">
        <f t="shared" si="25"/>
        <v/>
      </c>
      <c r="J557" s="12" t="str">
        <f t="shared" si="26"/>
        <v/>
      </c>
      <c r="K557" s="12" t="str">
        <f>IFERROR((E557 - VLOOKUP(C557, 'Stock Entry'!B:E, 4, FALSE)) * D557, "")</f>
        <v/>
      </c>
    </row>
    <row r="558" spans="7:11" x14ac:dyDescent="0.25">
      <c r="G558" s="12" t="str">
        <f t="shared" si="24"/>
        <v/>
      </c>
      <c r="I558" s="12" t="str">
        <f t="shared" si="25"/>
        <v/>
      </c>
      <c r="J558" s="12" t="str">
        <f t="shared" si="26"/>
        <v/>
      </c>
      <c r="K558" s="12" t="str">
        <f>IFERROR((E558 - VLOOKUP(C558, 'Stock Entry'!B:E, 4, FALSE)) * D558, "")</f>
        <v/>
      </c>
    </row>
    <row r="559" spans="7:11" x14ac:dyDescent="0.25">
      <c r="G559" s="12" t="str">
        <f t="shared" si="24"/>
        <v/>
      </c>
      <c r="I559" s="12" t="str">
        <f t="shared" si="25"/>
        <v/>
      </c>
      <c r="J559" s="12" t="str">
        <f t="shared" si="26"/>
        <v/>
      </c>
      <c r="K559" s="12" t="str">
        <f>IFERROR((E559 - VLOOKUP(C559, 'Stock Entry'!B:E, 4, FALSE)) * D559, "")</f>
        <v/>
      </c>
    </row>
    <row r="560" spans="7:11" x14ac:dyDescent="0.25">
      <c r="G560" s="12" t="str">
        <f t="shared" si="24"/>
        <v/>
      </c>
      <c r="I560" s="12" t="str">
        <f t="shared" si="25"/>
        <v/>
      </c>
      <c r="J560" s="12" t="str">
        <f t="shared" si="26"/>
        <v/>
      </c>
      <c r="K560" s="12" t="str">
        <f>IFERROR((E560 - VLOOKUP(C560, 'Stock Entry'!B:E, 4, FALSE)) * D560, "")</f>
        <v/>
      </c>
    </row>
    <row r="561" spans="7:11" x14ac:dyDescent="0.25">
      <c r="G561" s="12" t="str">
        <f t="shared" si="24"/>
        <v/>
      </c>
      <c r="I561" s="12" t="str">
        <f t="shared" si="25"/>
        <v/>
      </c>
      <c r="J561" s="12" t="str">
        <f t="shared" si="26"/>
        <v/>
      </c>
      <c r="K561" s="12" t="str">
        <f>IFERROR((E561 - VLOOKUP(C561, 'Stock Entry'!B:E, 4, FALSE)) * D561, "")</f>
        <v/>
      </c>
    </row>
    <row r="562" spans="7:11" x14ac:dyDescent="0.25">
      <c r="G562" s="12" t="str">
        <f t="shared" si="24"/>
        <v/>
      </c>
      <c r="I562" s="12" t="str">
        <f t="shared" si="25"/>
        <v/>
      </c>
      <c r="J562" s="12" t="str">
        <f t="shared" si="26"/>
        <v/>
      </c>
      <c r="K562" s="12" t="str">
        <f>IFERROR((E562 - VLOOKUP(C562, 'Stock Entry'!B:E, 4, FALSE)) * D562, "")</f>
        <v/>
      </c>
    </row>
    <row r="563" spans="7:11" x14ac:dyDescent="0.25">
      <c r="G563" s="12" t="str">
        <f t="shared" si="24"/>
        <v/>
      </c>
      <c r="I563" s="12" t="str">
        <f t="shared" si="25"/>
        <v/>
      </c>
      <c r="J563" s="12" t="str">
        <f t="shared" si="26"/>
        <v/>
      </c>
      <c r="K563" s="12" t="str">
        <f>IFERROR((E563 - VLOOKUP(C563, 'Stock Entry'!B:E, 4, FALSE)) * D563, "")</f>
        <v/>
      </c>
    </row>
    <row r="564" spans="7:11" x14ac:dyDescent="0.25">
      <c r="G564" s="12" t="str">
        <f t="shared" si="24"/>
        <v/>
      </c>
      <c r="I564" s="12" t="str">
        <f t="shared" si="25"/>
        <v/>
      </c>
      <c r="J564" s="12" t="str">
        <f t="shared" si="26"/>
        <v/>
      </c>
      <c r="K564" s="12" t="str">
        <f>IFERROR((E564 - VLOOKUP(C564, 'Stock Entry'!B:E, 4, FALSE)) * D564, "")</f>
        <v/>
      </c>
    </row>
    <row r="565" spans="7:11" x14ac:dyDescent="0.25">
      <c r="G565" s="12" t="str">
        <f t="shared" si="24"/>
        <v/>
      </c>
      <c r="I565" s="12" t="str">
        <f t="shared" si="25"/>
        <v/>
      </c>
      <c r="J565" s="12" t="str">
        <f t="shared" si="26"/>
        <v/>
      </c>
      <c r="K565" s="12" t="str">
        <f>IFERROR((E565 - VLOOKUP(C565, 'Stock Entry'!B:E, 4, FALSE)) * D565, "")</f>
        <v/>
      </c>
    </row>
    <row r="566" spans="7:11" x14ac:dyDescent="0.25">
      <c r="G566" s="12" t="str">
        <f t="shared" si="24"/>
        <v/>
      </c>
      <c r="I566" s="12" t="str">
        <f t="shared" si="25"/>
        <v/>
      </c>
      <c r="J566" s="12" t="str">
        <f t="shared" si="26"/>
        <v/>
      </c>
      <c r="K566" s="12" t="str">
        <f>IFERROR((E566 - VLOOKUP(C566, 'Stock Entry'!B:E, 4, FALSE)) * D566, "")</f>
        <v/>
      </c>
    </row>
    <row r="567" spans="7:11" x14ac:dyDescent="0.25">
      <c r="G567" s="12" t="str">
        <f t="shared" si="24"/>
        <v/>
      </c>
      <c r="I567" s="12" t="str">
        <f t="shared" si="25"/>
        <v/>
      </c>
      <c r="J567" s="12" t="str">
        <f t="shared" si="26"/>
        <v/>
      </c>
      <c r="K567" s="12" t="str">
        <f>IFERROR((E567 - VLOOKUP(C567, 'Stock Entry'!B:E, 4, FALSE)) * D567, "")</f>
        <v/>
      </c>
    </row>
    <row r="568" spans="7:11" x14ac:dyDescent="0.25">
      <c r="G568" s="12" t="str">
        <f t="shared" si="24"/>
        <v/>
      </c>
      <c r="I568" s="12" t="str">
        <f t="shared" si="25"/>
        <v/>
      </c>
      <c r="J568" s="12" t="str">
        <f t="shared" si="26"/>
        <v/>
      </c>
      <c r="K568" s="12" t="str">
        <f>IFERROR((E568 - VLOOKUP(C568, 'Stock Entry'!B:E, 4, FALSE)) * D568, "")</f>
        <v/>
      </c>
    </row>
    <row r="569" spans="7:11" x14ac:dyDescent="0.25">
      <c r="G569" s="12" t="str">
        <f t="shared" si="24"/>
        <v/>
      </c>
      <c r="I569" s="12" t="str">
        <f t="shared" si="25"/>
        <v/>
      </c>
      <c r="J569" s="12" t="str">
        <f t="shared" si="26"/>
        <v/>
      </c>
      <c r="K569" s="12" t="str">
        <f>IFERROR((E569 - VLOOKUP(C569, 'Stock Entry'!B:E, 4, FALSE)) * D569, "")</f>
        <v/>
      </c>
    </row>
    <row r="570" spans="7:11" x14ac:dyDescent="0.25">
      <c r="G570" s="12" t="str">
        <f t="shared" si="24"/>
        <v/>
      </c>
      <c r="I570" s="12" t="str">
        <f t="shared" si="25"/>
        <v/>
      </c>
      <c r="J570" s="12" t="str">
        <f t="shared" si="26"/>
        <v/>
      </c>
      <c r="K570" s="12" t="str">
        <f>IFERROR((E570 - VLOOKUP(C570, 'Stock Entry'!B:E, 4, FALSE)) * D570, "")</f>
        <v/>
      </c>
    </row>
    <row r="571" spans="7:11" x14ac:dyDescent="0.25">
      <c r="G571" s="12" t="str">
        <f t="shared" si="24"/>
        <v/>
      </c>
      <c r="I571" s="12" t="str">
        <f t="shared" si="25"/>
        <v/>
      </c>
      <c r="J571" s="12" t="str">
        <f t="shared" si="26"/>
        <v/>
      </c>
      <c r="K571" s="12" t="str">
        <f>IFERROR((E571 - VLOOKUP(C571, 'Stock Entry'!B:E, 4, FALSE)) * D571, "")</f>
        <v/>
      </c>
    </row>
    <row r="572" spans="7:11" x14ac:dyDescent="0.25">
      <c r="G572" s="12" t="str">
        <f t="shared" si="24"/>
        <v/>
      </c>
      <c r="I572" s="12" t="str">
        <f t="shared" si="25"/>
        <v/>
      </c>
      <c r="J572" s="12" t="str">
        <f t="shared" si="26"/>
        <v/>
      </c>
      <c r="K572" s="12" t="str">
        <f>IFERROR((E572 - VLOOKUP(C572, 'Stock Entry'!B:E, 4, FALSE)) * D572, "")</f>
        <v/>
      </c>
    </row>
    <row r="573" spans="7:11" x14ac:dyDescent="0.25">
      <c r="G573" s="12" t="str">
        <f t="shared" si="24"/>
        <v/>
      </c>
      <c r="I573" s="12" t="str">
        <f t="shared" si="25"/>
        <v/>
      </c>
      <c r="J573" s="12" t="str">
        <f t="shared" si="26"/>
        <v/>
      </c>
      <c r="K573" s="12" t="str">
        <f>IFERROR((E573 - VLOOKUP(C573, 'Stock Entry'!B:E, 4, FALSE)) * D573, "")</f>
        <v/>
      </c>
    </row>
    <row r="574" spans="7:11" x14ac:dyDescent="0.25">
      <c r="G574" s="12" t="str">
        <f t="shared" si="24"/>
        <v/>
      </c>
      <c r="I574" s="12" t="str">
        <f t="shared" si="25"/>
        <v/>
      </c>
      <c r="J574" s="12" t="str">
        <f t="shared" si="26"/>
        <v/>
      </c>
      <c r="K574" s="12" t="str">
        <f>IFERROR((E574 - VLOOKUP(C574, 'Stock Entry'!B:E, 4, FALSE)) * D574, "")</f>
        <v/>
      </c>
    </row>
    <row r="575" spans="7:11" x14ac:dyDescent="0.25">
      <c r="G575" s="12" t="str">
        <f t="shared" si="24"/>
        <v/>
      </c>
      <c r="I575" s="12" t="str">
        <f t="shared" si="25"/>
        <v/>
      </c>
      <c r="J575" s="12" t="str">
        <f t="shared" si="26"/>
        <v/>
      </c>
      <c r="K575" s="12" t="str">
        <f>IFERROR((E575 - VLOOKUP(C575, 'Stock Entry'!B:E, 4, FALSE)) * D575, "")</f>
        <v/>
      </c>
    </row>
    <row r="576" spans="7:11" x14ac:dyDescent="0.25">
      <c r="G576" s="12" t="str">
        <f t="shared" si="24"/>
        <v/>
      </c>
      <c r="I576" s="12" t="str">
        <f t="shared" si="25"/>
        <v/>
      </c>
      <c r="J576" s="12" t="str">
        <f t="shared" si="26"/>
        <v/>
      </c>
      <c r="K576" s="12" t="str">
        <f>IFERROR((E576 - VLOOKUP(C576, 'Stock Entry'!B:E, 4, FALSE)) * D576, "")</f>
        <v/>
      </c>
    </row>
    <row r="577" spans="7:11" x14ac:dyDescent="0.25">
      <c r="G577" s="12" t="str">
        <f t="shared" si="24"/>
        <v/>
      </c>
      <c r="I577" s="12" t="str">
        <f t="shared" si="25"/>
        <v/>
      </c>
      <c r="J577" s="12" t="str">
        <f t="shared" si="26"/>
        <v/>
      </c>
      <c r="K577" s="12" t="str">
        <f>IFERROR((E577 - VLOOKUP(C577, 'Stock Entry'!B:E, 4, FALSE)) * D577, "")</f>
        <v/>
      </c>
    </row>
    <row r="578" spans="7:11" x14ac:dyDescent="0.25">
      <c r="G578" s="12" t="str">
        <f t="shared" si="24"/>
        <v/>
      </c>
      <c r="I578" s="12" t="str">
        <f t="shared" si="25"/>
        <v/>
      </c>
      <c r="J578" s="12" t="str">
        <f t="shared" si="26"/>
        <v/>
      </c>
      <c r="K578" s="12" t="str">
        <f>IFERROR((E578 - VLOOKUP(C578, 'Stock Entry'!B:E, 4, FALSE)) * D578, "")</f>
        <v/>
      </c>
    </row>
    <row r="579" spans="7:11" x14ac:dyDescent="0.25">
      <c r="G579" s="12" t="str">
        <f t="shared" ref="G579:G642" si="27">IF(F579="Full Cash", D579*E579, "")</f>
        <v/>
      </c>
      <c r="I579" s="12" t="str">
        <f t="shared" ref="I579:I642" si="28">IF(F579="Full Credit",D579*E579,IF(F579="Partly Payment",(D579*E579)-H579,""))</f>
        <v/>
      </c>
      <c r="J579" s="12" t="str">
        <f t="shared" ref="J579:J642" si="29">IF(F579="Full Cash", G579, IF(F579="Full Credit", I579, IF(F579="Partly Payment", H579+I579, "")))</f>
        <v/>
      </c>
      <c r="K579" s="12" t="str">
        <f>IFERROR((E579 - VLOOKUP(C579, 'Stock Entry'!B:E, 4, FALSE)) * D579, "")</f>
        <v/>
      </c>
    </row>
    <row r="580" spans="7:11" x14ac:dyDescent="0.25">
      <c r="G580" s="12" t="str">
        <f t="shared" si="27"/>
        <v/>
      </c>
      <c r="I580" s="12" t="str">
        <f t="shared" si="28"/>
        <v/>
      </c>
      <c r="J580" s="12" t="str">
        <f t="shared" si="29"/>
        <v/>
      </c>
      <c r="K580" s="12" t="str">
        <f>IFERROR((E580 - VLOOKUP(C580, 'Stock Entry'!B:E, 4, FALSE)) * D580, "")</f>
        <v/>
      </c>
    </row>
    <row r="581" spans="7:11" x14ac:dyDescent="0.25">
      <c r="G581" s="12" t="str">
        <f t="shared" si="27"/>
        <v/>
      </c>
      <c r="I581" s="12" t="str">
        <f t="shared" si="28"/>
        <v/>
      </c>
      <c r="J581" s="12" t="str">
        <f t="shared" si="29"/>
        <v/>
      </c>
      <c r="K581" s="12" t="str">
        <f>IFERROR((E581 - VLOOKUP(C581, 'Stock Entry'!B:E, 4, FALSE)) * D581, "")</f>
        <v/>
      </c>
    </row>
    <row r="582" spans="7:11" x14ac:dyDescent="0.25">
      <c r="G582" s="12" t="str">
        <f t="shared" si="27"/>
        <v/>
      </c>
      <c r="I582" s="12" t="str">
        <f t="shared" si="28"/>
        <v/>
      </c>
      <c r="J582" s="12" t="str">
        <f t="shared" si="29"/>
        <v/>
      </c>
      <c r="K582" s="12" t="str">
        <f>IFERROR((E582 - VLOOKUP(C582, 'Stock Entry'!B:E, 4, FALSE)) * D582, "")</f>
        <v/>
      </c>
    </row>
    <row r="583" spans="7:11" x14ac:dyDescent="0.25">
      <c r="G583" s="12" t="str">
        <f t="shared" si="27"/>
        <v/>
      </c>
      <c r="I583" s="12" t="str">
        <f t="shared" si="28"/>
        <v/>
      </c>
      <c r="J583" s="12" t="str">
        <f t="shared" si="29"/>
        <v/>
      </c>
      <c r="K583" s="12" t="str">
        <f>IFERROR((E583 - VLOOKUP(C583, 'Stock Entry'!B:E, 4, FALSE)) * D583, "")</f>
        <v/>
      </c>
    </row>
    <row r="584" spans="7:11" x14ac:dyDescent="0.25">
      <c r="G584" s="12" t="str">
        <f t="shared" si="27"/>
        <v/>
      </c>
      <c r="I584" s="12" t="str">
        <f t="shared" si="28"/>
        <v/>
      </c>
      <c r="J584" s="12" t="str">
        <f t="shared" si="29"/>
        <v/>
      </c>
      <c r="K584" s="12" t="str">
        <f>IFERROR((E584 - VLOOKUP(C584, 'Stock Entry'!B:E, 4, FALSE)) * D584, "")</f>
        <v/>
      </c>
    </row>
    <row r="585" spans="7:11" x14ac:dyDescent="0.25">
      <c r="G585" s="12" t="str">
        <f t="shared" si="27"/>
        <v/>
      </c>
      <c r="I585" s="12" t="str">
        <f t="shared" si="28"/>
        <v/>
      </c>
      <c r="J585" s="12" t="str">
        <f t="shared" si="29"/>
        <v/>
      </c>
      <c r="K585" s="12" t="str">
        <f>IFERROR((E585 - VLOOKUP(C585, 'Stock Entry'!B:E, 4, FALSE)) * D585, "")</f>
        <v/>
      </c>
    </row>
    <row r="586" spans="7:11" x14ac:dyDescent="0.25">
      <c r="G586" s="12" t="str">
        <f t="shared" si="27"/>
        <v/>
      </c>
      <c r="I586" s="12" t="str">
        <f t="shared" si="28"/>
        <v/>
      </c>
      <c r="J586" s="12" t="str">
        <f t="shared" si="29"/>
        <v/>
      </c>
      <c r="K586" s="12" t="str">
        <f>IFERROR((E586 - VLOOKUP(C586, 'Stock Entry'!B:E, 4, FALSE)) * D586, "")</f>
        <v/>
      </c>
    </row>
    <row r="587" spans="7:11" x14ac:dyDescent="0.25">
      <c r="G587" s="12" t="str">
        <f t="shared" si="27"/>
        <v/>
      </c>
      <c r="I587" s="12" t="str">
        <f t="shared" si="28"/>
        <v/>
      </c>
      <c r="J587" s="12" t="str">
        <f t="shared" si="29"/>
        <v/>
      </c>
      <c r="K587" s="12" t="str">
        <f>IFERROR((E587 - VLOOKUP(C587, 'Stock Entry'!B:E, 4, FALSE)) * D587, "")</f>
        <v/>
      </c>
    </row>
    <row r="588" spans="7:11" x14ac:dyDescent="0.25">
      <c r="G588" s="12" t="str">
        <f t="shared" si="27"/>
        <v/>
      </c>
      <c r="I588" s="12" t="str">
        <f t="shared" si="28"/>
        <v/>
      </c>
      <c r="J588" s="12" t="str">
        <f t="shared" si="29"/>
        <v/>
      </c>
      <c r="K588" s="12" t="str">
        <f>IFERROR((E588 - VLOOKUP(C588, 'Stock Entry'!B:E, 4, FALSE)) * D588, "")</f>
        <v/>
      </c>
    </row>
    <row r="589" spans="7:11" x14ac:dyDescent="0.25">
      <c r="G589" s="12" t="str">
        <f t="shared" si="27"/>
        <v/>
      </c>
      <c r="I589" s="12" t="str">
        <f t="shared" si="28"/>
        <v/>
      </c>
      <c r="J589" s="12" t="str">
        <f t="shared" si="29"/>
        <v/>
      </c>
      <c r="K589" s="12" t="str">
        <f>IFERROR((E589 - VLOOKUP(C589, 'Stock Entry'!B:E, 4, FALSE)) * D589, "")</f>
        <v/>
      </c>
    </row>
    <row r="590" spans="7:11" x14ac:dyDescent="0.25">
      <c r="G590" s="12" t="str">
        <f t="shared" si="27"/>
        <v/>
      </c>
      <c r="I590" s="12" t="str">
        <f t="shared" si="28"/>
        <v/>
      </c>
      <c r="J590" s="12" t="str">
        <f t="shared" si="29"/>
        <v/>
      </c>
      <c r="K590" s="12" t="str">
        <f>IFERROR((E590 - VLOOKUP(C590, 'Stock Entry'!B:E, 4, FALSE)) * D590, "")</f>
        <v/>
      </c>
    </row>
    <row r="591" spans="7:11" x14ac:dyDescent="0.25">
      <c r="G591" s="12" t="str">
        <f t="shared" si="27"/>
        <v/>
      </c>
      <c r="I591" s="12" t="str">
        <f t="shared" si="28"/>
        <v/>
      </c>
      <c r="J591" s="12" t="str">
        <f t="shared" si="29"/>
        <v/>
      </c>
      <c r="K591" s="12" t="str">
        <f>IFERROR((E591 - VLOOKUP(C591, 'Stock Entry'!B:E, 4, FALSE)) * D591, "")</f>
        <v/>
      </c>
    </row>
    <row r="592" spans="7:11" x14ac:dyDescent="0.25">
      <c r="G592" s="12" t="str">
        <f t="shared" si="27"/>
        <v/>
      </c>
      <c r="I592" s="12" t="str">
        <f t="shared" si="28"/>
        <v/>
      </c>
      <c r="J592" s="12" t="str">
        <f t="shared" si="29"/>
        <v/>
      </c>
      <c r="K592" s="12" t="str">
        <f>IFERROR((E592 - VLOOKUP(C592, 'Stock Entry'!B:E, 4, FALSE)) * D592, "")</f>
        <v/>
      </c>
    </row>
    <row r="593" spans="7:11" x14ac:dyDescent="0.25">
      <c r="G593" s="12" t="str">
        <f t="shared" si="27"/>
        <v/>
      </c>
      <c r="I593" s="12" t="str">
        <f t="shared" si="28"/>
        <v/>
      </c>
      <c r="J593" s="12" t="str">
        <f t="shared" si="29"/>
        <v/>
      </c>
      <c r="K593" s="12" t="str">
        <f>IFERROR((E593 - VLOOKUP(C593, 'Stock Entry'!B:E, 4, FALSE)) * D593, "")</f>
        <v/>
      </c>
    </row>
    <row r="594" spans="7:11" x14ac:dyDescent="0.25">
      <c r="G594" s="12" t="str">
        <f t="shared" si="27"/>
        <v/>
      </c>
      <c r="I594" s="12" t="str">
        <f t="shared" si="28"/>
        <v/>
      </c>
      <c r="J594" s="12" t="str">
        <f t="shared" si="29"/>
        <v/>
      </c>
      <c r="K594" s="12" t="str">
        <f>IFERROR((E594 - VLOOKUP(C594, 'Stock Entry'!B:E, 4, FALSE)) * D594, "")</f>
        <v/>
      </c>
    </row>
    <row r="595" spans="7:11" x14ac:dyDescent="0.25">
      <c r="G595" s="12" t="str">
        <f t="shared" si="27"/>
        <v/>
      </c>
      <c r="I595" s="12" t="str">
        <f t="shared" si="28"/>
        <v/>
      </c>
      <c r="J595" s="12" t="str">
        <f t="shared" si="29"/>
        <v/>
      </c>
      <c r="K595" s="12" t="str">
        <f>IFERROR((E595 - VLOOKUP(C595, 'Stock Entry'!B:E, 4, FALSE)) * D595, "")</f>
        <v/>
      </c>
    </row>
    <row r="596" spans="7:11" x14ac:dyDescent="0.25">
      <c r="G596" s="12" t="str">
        <f t="shared" si="27"/>
        <v/>
      </c>
      <c r="I596" s="12" t="str">
        <f t="shared" si="28"/>
        <v/>
      </c>
      <c r="J596" s="12" t="str">
        <f t="shared" si="29"/>
        <v/>
      </c>
      <c r="K596" s="12" t="str">
        <f>IFERROR((E596 - VLOOKUP(C596, 'Stock Entry'!B:E, 4, FALSE)) * D596, "")</f>
        <v/>
      </c>
    </row>
    <row r="597" spans="7:11" x14ac:dyDescent="0.25">
      <c r="G597" s="12" t="str">
        <f t="shared" si="27"/>
        <v/>
      </c>
      <c r="I597" s="12" t="str">
        <f t="shared" si="28"/>
        <v/>
      </c>
      <c r="J597" s="12" t="str">
        <f t="shared" si="29"/>
        <v/>
      </c>
      <c r="K597" s="12" t="str">
        <f>IFERROR((E597 - VLOOKUP(C597, 'Stock Entry'!B:E, 4, FALSE)) * D597, "")</f>
        <v/>
      </c>
    </row>
    <row r="598" spans="7:11" x14ac:dyDescent="0.25">
      <c r="G598" s="12" t="str">
        <f t="shared" si="27"/>
        <v/>
      </c>
      <c r="I598" s="12" t="str">
        <f t="shared" si="28"/>
        <v/>
      </c>
      <c r="J598" s="12" t="str">
        <f t="shared" si="29"/>
        <v/>
      </c>
      <c r="K598" s="12" t="str">
        <f>IFERROR((E598 - VLOOKUP(C598, 'Stock Entry'!B:E, 4, FALSE)) * D598, "")</f>
        <v/>
      </c>
    </row>
    <row r="599" spans="7:11" x14ac:dyDescent="0.25">
      <c r="G599" s="12" t="str">
        <f t="shared" si="27"/>
        <v/>
      </c>
      <c r="I599" s="12" t="str">
        <f t="shared" si="28"/>
        <v/>
      </c>
      <c r="J599" s="12" t="str">
        <f t="shared" si="29"/>
        <v/>
      </c>
      <c r="K599" s="12" t="str">
        <f>IFERROR((E599 - VLOOKUP(C599, 'Stock Entry'!B:E, 4, FALSE)) * D599, "")</f>
        <v/>
      </c>
    </row>
    <row r="600" spans="7:11" x14ac:dyDescent="0.25">
      <c r="G600" s="12" t="str">
        <f t="shared" si="27"/>
        <v/>
      </c>
      <c r="I600" s="12" t="str">
        <f t="shared" si="28"/>
        <v/>
      </c>
      <c r="J600" s="12" t="str">
        <f t="shared" si="29"/>
        <v/>
      </c>
      <c r="K600" s="12" t="str">
        <f>IFERROR((E600 - VLOOKUP(C600, 'Stock Entry'!B:E, 4, FALSE)) * D600, "")</f>
        <v/>
      </c>
    </row>
    <row r="601" spans="7:11" x14ac:dyDescent="0.25">
      <c r="G601" s="12" t="str">
        <f t="shared" si="27"/>
        <v/>
      </c>
      <c r="I601" s="12" t="str">
        <f t="shared" si="28"/>
        <v/>
      </c>
      <c r="J601" s="12" t="str">
        <f t="shared" si="29"/>
        <v/>
      </c>
      <c r="K601" s="12" t="str">
        <f>IFERROR((E601 - VLOOKUP(C601, 'Stock Entry'!B:E, 4, FALSE)) * D601, "")</f>
        <v/>
      </c>
    </row>
    <row r="602" spans="7:11" x14ac:dyDescent="0.25">
      <c r="G602" s="12" t="str">
        <f t="shared" si="27"/>
        <v/>
      </c>
      <c r="I602" s="12" t="str">
        <f t="shared" si="28"/>
        <v/>
      </c>
      <c r="J602" s="12" t="str">
        <f t="shared" si="29"/>
        <v/>
      </c>
      <c r="K602" s="12" t="str">
        <f>IFERROR((E602 - VLOOKUP(C602, 'Stock Entry'!B:E, 4, FALSE)) * D602, "")</f>
        <v/>
      </c>
    </row>
    <row r="603" spans="7:11" x14ac:dyDescent="0.25">
      <c r="G603" s="12" t="str">
        <f t="shared" si="27"/>
        <v/>
      </c>
      <c r="I603" s="12" t="str">
        <f t="shared" si="28"/>
        <v/>
      </c>
      <c r="J603" s="12" t="str">
        <f t="shared" si="29"/>
        <v/>
      </c>
      <c r="K603" s="12" t="str">
        <f>IFERROR((E603 - VLOOKUP(C603, 'Stock Entry'!B:E, 4, FALSE)) * D603, "")</f>
        <v/>
      </c>
    </row>
    <row r="604" spans="7:11" x14ac:dyDescent="0.25">
      <c r="G604" s="12" t="str">
        <f t="shared" si="27"/>
        <v/>
      </c>
      <c r="I604" s="12" t="str">
        <f t="shared" si="28"/>
        <v/>
      </c>
      <c r="J604" s="12" t="str">
        <f t="shared" si="29"/>
        <v/>
      </c>
      <c r="K604" s="12" t="str">
        <f>IFERROR((E604 - VLOOKUP(C604, 'Stock Entry'!B:E, 4, FALSE)) * D604, "")</f>
        <v/>
      </c>
    </row>
    <row r="605" spans="7:11" x14ac:dyDescent="0.25">
      <c r="G605" s="12" t="str">
        <f t="shared" si="27"/>
        <v/>
      </c>
      <c r="I605" s="12" t="str">
        <f t="shared" si="28"/>
        <v/>
      </c>
      <c r="J605" s="12" t="str">
        <f t="shared" si="29"/>
        <v/>
      </c>
      <c r="K605" s="12" t="str">
        <f>IFERROR((E605 - VLOOKUP(C605, 'Stock Entry'!B:E, 4, FALSE)) * D605, "")</f>
        <v/>
      </c>
    </row>
    <row r="606" spans="7:11" x14ac:dyDescent="0.25">
      <c r="G606" s="12" t="str">
        <f t="shared" si="27"/>
        <v/>
      </c>
      <c r="I606" s="12" t="str">
        <f t="shared" si="28"/>
        <v/>
      </c>
      <c r="J606" s="12" t="str">
        <f t="shared" si="29"/>
        <v/>
      </c>
      <c r="K606" s="12" t="str">
        <f>IFERROR((E606 - VLOOKUP(C606, 'Stock Entry'!B:E, 4, FALSE)) * D606, "")</f>
        <v/>
      </c>
    </row>
    <row r="607" spans="7:11" x14ac:dyDescent="0.25">
      <c r="G607" s="12" t="str">
        <f t="shared" si="27"/>
        <v/>
      </c>
      <c r="I607" s="12" t="str">
        <f t="shared" si="28"/>
        <v/>
      </c>
      <c r="J607" s="12" t="str">
        <f t="shared" si="29"/>
        <v/>
      </c>
      <c r="K607" s="12" t="str">
        <f>IFERROR((E607 - VLOOKUP(C607, 'Stock Entry'!B:E, 4, FALSE)) * D607, "")</f>
        <v/>
      </c>
    </row>
    <row r="608" spans="7:11" x14ac:dyDescent="0.25">
      <c r="G608" s="12" t="str">
        <f t="shared" si="27"/>
        <v/>
      </c>
      <c r="I608" s="12" t="str">
        <f t="shared" si="28"/>
        <v/>
      </c>
      <c r="J608" s="12" t="str">
        <f t="shared" si="29"/>
        <v/>
      </c>
      <c r="K608" s="12" t="str">
        <f>IFERROR((E608 - VLOOKUP(C608, 'Stock Entry'!B:E, 4, FALSE)) * D608, "")</f>
        <v/>
      </c>
    </row>
    <row r="609" spans="7:11" x14ac:dyDescent="0.25">
      <c r="G609" s="12" t="str">
        <f t="shared" si="27"/>
        <v/>
      </c>
      <c r="I609" s="12" t="str">
        <f t="shared" si="28"/>
        <v/>
      </c>
      <c r="J609" s="12" t="str">
        <f t="shared" si="29"/>
        <v/>
      </c>
      <c r="K609" s="12" t="str">
        <f>IFERROR((E609 - VLOOKUP(C609, 'Stock Entry'!B:E, 4, FALSE)) * D609, "")</f>
        <v/>
      </c>
    </row>
    <row r="610" spans="7:11" x14ac:dyDescent="0.25">
      <c r="G610" s="12" t="str">
        <f t="shared" si="27"/>
        <v/>
      </c>
      <c r="I610" s="12" t="str">
        <f t="shared" si="28"/>
        <v/>
      </c>
      <c r="J610" s="12" t="str">
        <f t="shared" si="29"/>
        <v/>
      </c>
      <c r="K610" s="12" t="str">
        <f>IFERROR((E610 - VLOOKUP(C610, 'Stock Entry'!B:E, 4, FALSE)) * D610, "")</f>
        <v/>
      </c>
    </row>
    <row r="611" spans="7:11" x14ac:dyDescent="0.25">
      <c r="G611" s="12" t="str">
        <f t="shared" si="27"/>
        <v/>
      </c>
      <c r="I611" s="12" t="str">
        <f t="shared" si="28"/>
        <v/>
      </c>
      <c r="J611" s="12" t="str">
        <f t="shared" si="29"/>
        <v/>
      </c>
      <c r="K611" s="12" t="str">
        <f>IFERROR((E611 - VLOOKUP(C611, 'Stock Entry'!B:E, 4, FALSE)) * D611, "")</f>
        <v/>
      </c>
    </row>
    <row r="612" spans="7:11" x14ac:dyDescent="0.25">
      <c r="G612" s="12" t="str">
        <f t="shared" si="27"/>
        <v/>
      </c>
      <c r="I612" s="12" t="str">
        <f t="shared" si="28"/>
        <v/>
      </c>
      <c r="J612" s="12" t="str">
        <f t="shared" si="29"/>
        <v/>
      </c>
      <c r="K612" s="12" t="str">
        <f>IFERROR((E612 - VLOOKUP(C612, 'Stock Entry'!B:E, 4, FALSE)) * D612, "")</f>
        <v/>
      </c>
    </row>
    <row r="613" spans="7:11" x14ac:dyDescent="0.25">
      <c r="G613" s="12" t="str">
        <f t="shared" si="27"/>
        <v/>
      </c>
      <c r="I613" s="12" t="str">
        <f t="shared" si="28"/>
        <v/>
      </c>
      <c r="J613" s="12" t="str">
        <f t="shared" si="29"/>
        <v/>
      </c>
      <c r="K613" s="12" t="str">
        <f>IFERROR((E613 - VLOOKUP(C613, 'Stock Entry'!B:E, 4, FALSE)) * D613, "")</f>
        <v/>
      </c>
    </row>
    <row r="614" spans="7:11" x14ac:dyDescent="0.25">
      <c r="G614" s="12" t="str">
        <f t="shared" si="27"/>
        <v/>
      </c>
      <c r="I614" s="12" t="str">
        <f t="shared" si="28"/>
        <v/>
      </c>
      <c r="J614" s="12" t="str">
        <f t="shared" si="29"/>
        <v/>
      </c>
      <c r="K614" s="12" t="str">
        <f>IFERROR((E614 - VLOOKUP(C614, 'Stock Entry'!B:E, 4, FALSE)) * D614, "")</f>
        <v/>
      </c>
    </row>
    <row r="615" spans="7:11" x14ac:dyDescent="0.25">
      <c r="G615" s="12" t="str">
        <f t="shared" si="27"/>
        <v/>
      </c>
      <c r="I615" s="12" t="str">
        <f t="shared" si="28"/>
        <v/>
      </c>
      <c r="J615" s="12" t="str">
        <f t="shared" si="29"/>
        <v/>
      </c>
      <c r="K615" s="12" t="str">
        <f>IFERROR((E615 - VLOOKUP(C615, 'Stock Entry'!B:E, 4, FALSE)) * D615, "")</f>
        <v/>
      </c>
    </row>
    <row r="616" spans="7:11" x14ac:dyDescent="0.25">
      <c r="G616" s="12" t="str">
        <f t="shared" si="27"/>
        <v/>
      </c>
      <c r="I616" s="12" t="str">
        <f t="shared" si="28"/>
        <v/>
      </c>
      <c r="J616" s="12" t="str">
        <f t="shared" si="29"/>
        <v/>
      </c>
      <c r="K616" s="12" t="str">
        <f>IFERROR((E616 - VLOOKUP(C616, 'Stock Entry'!B:E, 4, FALSE)) * D616, "")</f>
        <v/>
      </c>
    </row>
    <row r="617" spans="7:11" x14ac:dyDescent="0.25">
      <c r="G617" s="12" t="str">
        <f t="shared" si="27"/>
        <v/>
      </c>
      <c r="I617" s="12" t="str">
        <f t="shared" si="28"/>
        <v/>
      </c>
      <c r="J617" s="12" t="str">
        <f t="shared" si="29"/>
        <v/>
      </c>
      <c r="K617" s="12" t="str">
        <f>IFERROR((E617 - VLOOKUP(C617, 'Stock Entry'!B:E, 4, FALSE)) * D617, "")</f>
        <v/>
      </c>
    </row>
    <row r="618" spans="7:11" x14ac:dyDescent="0.25">
      <c r="G618" s="12" t="str">
        <f t="shared" si="27"/>
        <v/>
      </c>
      <c r="I618" s="12" t="str">
        <f t="shared" si="28"/>
        <v/>
      </c>
      <c r="J618" s="12" t="str">
        <f t="shared" si="29"/>
        <v/>
      </c>
      <c r="K618" s="12" t="str">
        <f>IFERROR((E618 - VLOOKUP(C618, 'Stock Entry'!B:E, 4, FALSE)) * D618, "")</f>
        <v/>
      </c>
    </row>
    <row r="619" spans="7:11" x14ac:dyDescent="0.25">
      <c r="G619" s="12" t="str">
        <f t="shared" si="27"/>
        <v/>
      </c>
      <c r="I619" s="12" t="str">
        <f t="shared" si="28"/>
        <v/>
      </c>
      <c r="J619" s="12" t="str">
        <f t="shared" si="29"/>
        <v/>
      </c>
      <c r="K619" s="12" t="str">
        <f>IFERROR((E619 - VLOOKUP(C619, 'Stock Entry'!B:E, 4, FALSE)) * D619, "")</f>
        <v/>
      </c>
    </row>
    <row r="620" spans="7:11" x14ac:dyDescent="0.25">
      <c r="G620" s="12" t="str">
        <f t="shared" si="27"/>
        <v/>
      </c>
      <c r="I620" s="12" t="str">
        <f t="shared" si="28"/>
        <v/>
      </c>
      <c r="J620" s="12" t="str">
        <f t="shared" si="29"/>
        <v/>
      </c>
      <c r="K620" s="12" t="str">
        <f>IFERROR((E620 - VLOOKUP(C620, 'Stock Entry'!B:E, 4, FALSE)) * D620, "")</f>
        <v/>
      </c>
    </row>
    <row r="621" spans="7:11" x14ac:dyDescent="0.25">
      <c r="G621" s="12" t="str">
        <f t="shared" si="27"/>
        <v/>
      </c>
      <c r="I621" s="12" t="str">
        <f t="shared" si="28"/>
        <v/>
      </c>
      <c r="J621" s="12" t="str">
        <f t="shared" si="29"/>
        <v/>
      </c>
      <c r="K621" s="12" t="str">
        <f>IFERROR((E621 - VLOOKUP(C621, 'Stock Entry'!B:E, 4, FALSE)) * D621, "")</f>
        <v/>
      </c>
    </row>
    <row r="622" spans="7:11" x14ac:dyDescent="0.25">
      <c r="G622" s="12" t="str">
        <f t="shared" si="27"/>
        <v/>
      </c>
      <c r="I622" s="12" t="str">
        <f t="shared" si="28"/>
        <v/>
      </c>
      <c r="J622" s="12" t="str">
        <f t="shared" si="29"/>
        <v/>
      </c>
      <c r="K622" s="12" t="str">
        <f>IFERROR((E622 - VLOOKUP(C622, 'Stock Entry'!B:E, 4, FALSE)) * D622, "")</f>
        <v/>
      </c>
    </row>
    <row r="623" spans="7:11" x14ac:dyDescent="0.25">
      <c r="G623" s="12" t="str">
        <f t="shared" si="27"/>
        <v/>
      </c>
      <c r="I623" s="12" t="str">
        <f t="shared" si="28"/>
        <v/>
      </c>
      <c r="J623" s="12" t="str">
        <f t="shared" si="29"/>
        <v/>
      </c>
      <c r="K623" s="12" t="str">
        <f>IFERROR((E623 - VLOOKUP(C623, 'Stock Entry'!B:E, 4, FALSE)) * D623, "")</f>
        <v/>
      </c>
    </row>
    <row r="624" spans="7:11" x14ac:dyDescent="0.25">
      <c r="G624" s="12" t="str">
        <f t="shared" si="27"/>
        <v/>
      </c>
      <c r="I624" s="12" t="str">
        <f t="shared" si="28"/>
        <v/>
      </c>
      <c r="J624" s="12" t="str">
        <f t="shared" si="29"/>
        <v/>
      </c>
      <c r="K624" s="12" t="str">
        <f>IFERROR((E624 - VLOOKUP(C624, 'Stock Entry'!B:E, 4, FALSE)) * D624, "")</f>
        <v/>
      </c>
    </row>
    <row r="625" spans="7:11" x14ac:dyDescent="0.25">
      <c r="G625" s="12" t="str">
        <f t="shared" si="27"/>
        <v/>
      </c>
      <c r="I625" s="12" t="str">
        <f t="shared" si="28"/>
        <v/>
      </c>
      <c r="J625" s="12" t="str">
        <f t="shared" si="29"/>
        <v/>
      </c>
      <c r="K625" s="12" t="str">
        <f>IFERROR((E625 - VLOOKUP(C625, 'Stock Entry'!B:E, 4, FALSE)) * D625, "")</f>
        <v/>
      </c>
    </row>
    <row r="626" spans="7:11" x14ac:dyDescent="0.25">
      <c r="G626" s="12" t="str">
        <f t="shared" si="27"/>
        <v/>
      </c>
      <c r="I626" s="12" t="str">
        <f t="shared" si="28"/>
        <v/>
      </c>
      <c r="J626" s="12" t="str">
        <f t="shared" si="29"/>
        <v/>
      </c>
      <c r="K626" s="12" t="str">
        <f>IFERROR((E626 - VLOOKUP(C626, 'Stock Entry'!B:E, 4, FALSE)) * D626, "")</f>
        <v/>
      </c>
    </row>
    <row r="627" spans="7:11" x14ac:dyDescent="0.25">
      <c r="G627" s="12" t="str">
        <f t="shared" si="27"/>
        <v/>
      </c>
      <c r="I627" s="12" t="str">
        <f t="shared" si="28"/>
        <v/>
      </c>
      <c r="J627" s="12" t="str">
        <f t="shared" si="29"/>
        <v/>
      </c>
      <c r="K627" s="12" t="str">
        <f>IFERROR((E627 - VLOOKUP(C627, 'Stock Entry'!B:E, 4, FALSE)) * D627, "")</f>
        <v/>
      </c>
    </row>
    <row r="628" spans="7:11" x14ac:dyDescent="0.25">
      <c r="G628" s="12" t="str">
        <f t="shared" si="27"/>
        <v/>
      </c>
      <c r="I628" s="12" t="str">
        <f t="shared" si="28"/>
        <v/>
      </c>
      <c r="J628" s="12" t="str">
        <f t="shared" si="29"/>
        <v/>
      </c>
      <c r="K628" s="12" t="str">
        <f>IFERROR((E628 - VLOOKUP(C628, 'Stock Entry'!B:E, 4, FALSE)) * D628, "")</f>
        <v/>
      </c>
    </row>
    <row r="629" spans="7:11" x14ac:dyDescent="0.25">
      <c r="G629" s="12" t="str">
        <f t="shared" si="27"/>
        <v/>
      </c>
      <c r="I629" s="12" t="str">
        <f t="shared" si="28"/>
        <v/>
      </c>
      <c r="J629" s="12" t="str">
        <f t="shared" si="29"/>
        <v/>
      </c>
      <c r="K629" s="12" t="str">
        <f>IFERROR((E629 - VLOOKUP(C629, 'Stock Entry'!B:E, 4, FALSE)) * D629, "")</f>
        <v/>
      </c>
    </row>
    <row r="630" spans="7:11" x14ac:dyDescent="0.25">
      <c r="G630" s="12" t="str">
        <f t="shared" si="27"/>
        <v/>
      </c>
      <c r="I630" s="12" t="str">
        <f t="shared" si="28"/>
        <v/>
      </c>
      <c r="J630" s="12" t="str">
        <f t="shared" si="29"/>
        <v/>
      </c>
      <c r="K630" s="12" t="str">
        <f>IFERROR((E630 - VLOOKUP(C630, 'Stock Entry'!B:E, 4, FALSE)) * D630, "")</f>
        <v/>
      </c>
    </row>
    <row r="631" spans="7:11" x14ac:dyDescent="0.25">
      <c r="G631" s="12" t="str">
        <f t="shared" si="27"/>
        <v/>
      </c>
      <c r="I631" s="12" t="str">
        <f t="shared" si="28"/>
        <v/>
      </c>
      <c r="J631" s="12" t="str">
        <f t="shared" si="29"/>
        <v/>
      </c>
      <c r="K631" s="12" t="str">
        <f>IFERROR((E631 - VLOOKUP(C631, 'Stock Entry'!B:E, 4, FALSE)) * D631, "")</f>
        <v/>
      </c>
    </row>
    <row r="632" spans="7:11" x14ac:dyDescent="0.25">
      <c r="G632" s="12" t="str">
        <f t="shared" si="27"/>
        <v/>
      </c>
      <c r="I632" s="12" t="str">
        <f t="shared" si="28"/>
        <v/>
      </c>
      <c r="J632" s="12" t="str">
        <f t="shared" si="29"/>
        <v/>
      </c>
      <c r="K632" s="12" t="str">
        <f>IFERROR((E632 - VLOOKUP(C632, 'Stock Entry'!B:E, 4, FALSE)) * D632, "")</f>
        <v/>
      </c>
    </row>
    <row r="633" spans="7:11" x14ac:dyDescent="0.25">
      <c r="G633" s="12" t="str">
        <f t="shared" si="27"/>
        <v/>
      </c>
      <c r="I633" s="12" t="str">
        <f t="shared" si="28"/>
        <v/>
      </c>
      <c r="J633" s="12" t="str">
        <f t="shared" si="29"/>
        <v/>
      </c>
      <c r="K633" s="12" t="str">
        <f>IFERROR((E633 - VLOOKUP(C633, 'Stock Entry'!B:E, 4, FALSE)) * D633, "")</f>
        <v/>
      </c>
    </row>
    <row r="634" spans="7:11" x14ac:dyDescent="0.25">
      <c r="G634" s="12" t="str">
        <f t="shared" si="27"/>
        <v/>
      </c>
      <c r="I634" s="12" t="str">
        <f t="shared" si="28"/>
        <v/>
      </c>
      <c r="J634" s="12" t="str">
        <f t="shared" si="29"/>
        <v/>
      </c>
      <c r="K634" s="12" t="str">
        <f>IFERROR((E634 - VLOOKUP(C634, 'Stock Entry'!B:E, 4, FALSE)) * D634, "")</f>
        <v/>
      </c>
    </row>
    <row r="635" spans="7:11" x14ac:dyDescent="0.25">
      <c r="G635" s="12" t="str">
        <f t="shared" si="27"/>
        <v/>
      </c>
      <c r="I635" s="12" t="str">
        <f t="shared" si="28"/>
        <v/>
      </c>
      <c r="J635" s="12" t="str">
        <f t="shared" si="29"/>
        <v/>
      </c>
      <c r="K635" s="12" t="str">
        <f>IFERROR((E635 - VLOOKUP(C635, 'Stock Entry'!B:E, 4, FALSE)) * D635, "")</f>
        <v/>
      </c>
    </row>
    <row r="636" spans="7:11" x14ac:dyDescent="0.25">
      <c r="G636" s="12" t="str">
        <f t="shared" si="27"/>
        <v/>
      </c>
      <c r="I636" s="12" t="str">
        <f t="shared" si="28"/>
        <v/>
      </c>
      <c r="J636" s="12" t="str">
        <f t="shared" si="29"/>
        <v/>
      </c>
      <c r="K636" s="12" t="str">
        <f>IFERROR((E636 - VLOOKUP(C636, 'Stock Entry'!B:E, 4, FALSE)) * D636, "")</f>
        <v/>
      </c>
    </row>
    <row r="637" spans="7:11" x14ac:dyDescent="0.25">
      <c r="G637" s="12" t="str">
        <f t="shared" si="27"/>
        <v/>
      </c>
      <c r="I637" s="12" t="str">
        <f t="shared" si="28"/>
        <v/>
      </c>
      <c r="J637" s="12" t="str">
        <f t="shared" si="29"/>
        <v/>
      </c>
      <c r="K637" s="12" t="str">
        <f>IFERROR((E637 - VLOOKUP(C637, 'Stock Entry'!B:E, 4, FALSE)) * D637, "")</f>
        <v/>
      </c>
    </row>
    <row r="638" spans="7:11" x14ac:dyDescent="0.25">
      <c r="G638" s="12" t="str">
        <f t="shared" si="27"/>
        <v/>
      </c>
      <c r="I638" s="12" t="str">
        <f t="shared" si="28"/>
        <v/>
      </c>
      <c r="J638" s="12" t="str">
        <f t="shared" si="29"/>
        <v/>
      </c>
      <c r="K638" s="12" t="str">
        <f>IFERROR((E638 - VLOOKUP(C638, 'Stock Entry'!B:E, 4, FALSE)) * D638, "")</f>
        <v/>
      </c>
    </row>
    <row r="639" spans="7:11" x14ac:dyDescent="0.25">
      <c r="G639" s="12" t="str">
        <f t="shared" si="27"/>
        <v/>
      </c>
      <c r="I639" s="12" t="str">
        <f t="shared" si="28"/>
        <v/>
      </c>
      <c r="J639" s="12" t="str">
        <f t="shared" si="29"/>
        <v/>
      </c>
      <c r="K639" s="12" t="str">
        <f>IFERROR((E639 - VLOOKUP(C639, 'Stock Entry'!B:E, 4, FALSE)) * D639, "")</f>
        <v/>
      </c>
    </row>
    <row r="640" spans="7:11" x14ac:dyDescent="0.25">
      <c r="G640" s="12" t="str">
        <f t="shared" si="27"/>
        <v/>
      </c>
      <c r="I640" s="12" t="str">
        <f t="shared" si="28"/>
        <v/>
      </c>
      <c r="J640" s="12" t="str">
        <f t="shared" si="29"/>
        <v/>
      </c>
      <c r="K640" s="12" t="str">
        <f>IFERROR((E640 - VLOOKUP(C640, 'Stock Entry'!B:E, 4, FALSE)) * D640, "")</f>
        <v/>
      </c>
    </row>
    <row r="641" spans="7:11" x14ac:dyDescent="0.25">
      <c r="G641" s="12" t="str">
        <f t="shared" si="27"/>
        <v/>
      </c>
      <c r="I641" s="12" t="str">
        <f t="shared" si="28"/>
        <v/>
      </c>
      <c r="J641" s="12" t="str">
        <f t="shared" si="29"/>
        <v/>
      </c>
      <c r="K641" s="12" t="str">
        <f>IFERROR((E641 - VLOOKUP(C641, 'Stock Entry'!B:E, 4, FALSE)) * D641, "")</f>
        <v/>
      </c>
    </row>
    <row r="642" spans="7:11" x14ac:dyDescent="0.25">
      <c r="G642" s="12" t="str">
        <f t="shared" si="27"/>
        <v/>
      </c>
      <c r="I642" s="12" t="str">
        <f t="shared" si="28"/>
        <v/>
      </c>
      <c r="J642" s="12" t="str">
        <f t="shared" si="29"/>
        <v/>
      </c>
      <c r="K642" s="12" t="str">
        <f>IFERROR((E642 - VLOOKUP(C642, 'Stock Entry'!B:E, 4, FALSE)) * D642, "")</f>
        <v/>
      </c>
    </row>
    <row r="643" spans="7:11" x14ac:dyDescent="0.25">
      <c r="G643" s="12" t="str">
        <f t="shared" ref="G643:G706" si="30">IF(F643="Full Cash", D643*E643, "")</f>
        <v/>
      </c>
      <c r="I643" s="12" t="str">
        <f t="shared" ref="I643:I706" si="31">IF(F643="Full Credit",D643*E643,IF(F643="Partly Payment",(D643*E643)-H643,""))</f>
        <v/>
      </c>
      <c r="J643" s="12" t="str">
        <f t="shared" ref="J643:J706" si="32">IF(F643="Full Cash", G643, IF(F643="Full Credit", I643, IF(F643="Partly Payment", H643+I643, "")))</f>
        <v/>
      </c>
      <c r="K643" s="12" t="str">
        <f>IFERROR((E643 - VLOOKUP(C643, 'Stock Entry'!B:E, 4, FALSE)) * D643, "")</f>
        <v/>
      </c>
    </row>
    <row r="644" spans="7:11" x14ac:dyDescent="0.25">
      <c r="G644" s="12" t="str">
        <f t="shared" si="30"/>
        <v/>
      </c>
      <c r="I644" s="12" t="str">
        <f t="shared" si="31"/>
        <v/>
      </c>
      <c r="J644" s="12" t="str">
        <f t="shared" si="32"/>
        <v/>
      </c>
      <c r="K644" s="12" t="str">
        <f>IFERROR((E644 - VLOOKUP(C644, 'Stock Entry'!B:E, 4, FALSE)) * D644, "")</f>
        <v/>
      </c>
    </row>
    <row r="645" spans="7:11" x14ac:dyDescent="0.25">
      <c r="G645" s="12" t="str">
        <f t="shared" si="30"/>
        <v/>
      </c>
      <c r="I645" s="12" t="str">
        <f t="shared" si="31"/>
        <v/>
      </c>
      <c r="J645" s="12" t="str">
        <f t="shared" si="32"/>
        <v/>
      </c>
      <c r="K645" s="12" t="str">
        <f>IFERROR((E645 - VLOOKUP(C645, 'Stock Entry'!B:E, 4, FALSE)) * D645, "")</f>
        <v/>
      </c>
    </row>
    <row r="646" spans="7:11" x14ac:dyDescent="0.25">
      <c r="G646" s="12" t="str">
        <f t="shared" si="30"/>
        <v/>
      </c>
      <c r="I646" s="12" t="str">
        <f t="shared" si="31"/>
        <v/>
      </c>
      <c r="J646" s="12" t="str">
        <f t="shared" si="32"/>
        <v/>
      </c>
      <c r="K646" s="12" t="str">
        <f>IFERROR((E646 - VLOOKUP(C646, 'Stock Entry'!B:E, 4, FALSE)) * D646, "")</f>
        <v/>
      </c>
    </row>
    <row r="647" spans="7:11" x14ac:dyDescent="0.25">
      <c r="G647" s="12" t="str">
        <f t="shared" si="30"/>
        <v/>
      </c>
      <c r="I647" s="12" t="str">
        <f t="shared" si="31"/>
        <v/>
      </c>
      <c r="J647" s="12" t="str">
        <f t="shared" si="32"/>
        <v/>
      </c>
      <c r="K647" s="12" t="str">
        <f>IFERROR((E647 - VLOOKUP(C647, 'Stock Entry'!B:E, 4, FALSE)) * D647, "")</f>
        <v/>
      </c>
    </row>
    <row r="648" spans="7:11" x14ac:dyDescent="0.25">
      <c r="G648" s="12" t="str">
        <f t="shared" si="30"/>
        <v/>
      </c>
      <c r="I648" s="12" t="str">
        <f t="shared" si="31"/>
        <v/>
      </c>
      <c r="J648" s="12" t="str">
        <f t="shared" si="32"/>
        <v/>
      </c>
      <c r="K648" s="12" t="str">
        <f>IFERROR((E648 - VLOOKUP(C648, 'Stock Entry'!B:E, 4, FALSE)) * D648, "")</f>
        <v/>
      </c>
    </row>
    <row r="649" spans="7:11" x14ac:dyDescent="0.25">
      <c r="G649" s="12" t="str">
        <f t="shared" si="30"/>
        <v/>
      </c>
      <c r="I649" s="12" t="str">
        <f t="shared" si="31"/>
        <v/>
      </c>
      <c r="J649" s="12" t="str">
        <f t="shared" si="32"/>
        <v/>
      </c>
      <c r="K649" s="12" t="str">
        <f>IFERROR((E649 - VLOOKUP(C649, 'Stock Entry'!B:E, 4, FALSE)) * D649, "")</f>
        <v/>
      </c>
    </row>
    <row r="650" spans="7:11" x14ac:dyDescent="0.25">
      <c r="G650" s="12" t="str">
        <f t="shared" si="30"/>
        <v/>
      </c>
      <c r="I650" s="12" t="str">
        <f t="shared" si="31"/>
        <v/>
      </c>
      <c r="J650" s="12" t="str">
        <f t="shared" si="32"/>
        <v/>
      </c>
      <c r="K650" s="12" t="str">
        <f>IFERROR((E650 - VLOOKUP(C650, 'Stock Entry'!B:E, 4, FALSE)) * D650, "")</f>
        <v/>
      </c>
    </row>
    <row r="651" spans="7:11" x14ac:dyDescent="0.25">
      <c r="G651" s="12" t="str">
        <f t="shared" si="30"/>
        <v/>
      </c>
      <c r="I651" s="12" t="str">
        <f t="shared" si="31"/>
        <v/>
      </c>
      <c r="J651" s="12" t="str">
        <f t="shared" si="32"/>
        <v/>
      </c>
      <c r="K651" s="12" t="str">
        <f>IFERROR((E651 - VLOOKUP(C651, 'Stock Entry'!B:E, 4, FALSE)) * D651, "")</f>
        <v/>
      </c>
    </row>
    <row r="652" spans="7:11" x14ac:dyDescent="0.25">
      <c r="G652" s="12" t="str">
        <f t="shared" si="30"/>
        <v/>
      </c>
      <c r="I652" s="12" t="str">
        <f t="shared" si="31"/>
        <v/>
      </c>
      <c r="J652" s="12" t="str">
        <f t="shared" si="32"/>
        <v/>
      </c>
      <c r="K652" s="12" t="str">
        <f>IFERROR((E652 - VLOOKUP(C652, 'Stock Entry'!B:E, 4, FALSE)) * D652, "")</f>
        <v/>
      </c>
    </row>
    <row r="653" spans="7:11" x14ac:dyDescent="0.25">
      <c r="G653" s="12" t="str">
        <f t="shared" si="30"/>
        <v/>
      </c>
      <c r="I653" s="12" t="str">
        <f t="shared" si="31"/>
        <v/>
      </c>
      <c r="J653" s="12" t="str">
        <f t="shared" si="32"/>
        <v/>
      </c>
      <c r="K653" s="12" t="str">
        <f>IFERROR((E653 - VLOOKUP(C653, 'Stock Entry'!B:E, 4, FALSE)) * D653, "")</f>
        <v/>
      </c>
    </row>
    <row r="654" spans="7:11" x14ac:dyDescent="0.25">
      <c r="G654" s="12" t="str">
        <f t="shared" si="30"/>
        <v/>
      </c>
      <c r="I654" s="12" t="str">
        <f t="shared" si="31"/>
        <v/>
      </c>
      <c r="J654" s="12" t="str">
        <f t="shared" si="32"/>
        <v/>
      </c>
      <c r="K654" s="12" t="str">
        <f>IFERROR((E654 - VLOOKUP(C654, 'Stock Entry'!B:E, 4, FALSE)) * D654, "")</f>
        <v/>
      </c>
    </row>
    <row r="655" spans="7:11" x14ac:dyDescent="0.25">
      <c r="G655" s="12" t="str">
        <f t="shared" si="30"/>
        <v/>
      </c>
      <c r="I655" s="12" t="str">
        <f t="shared" si="31"/>
        <v/>
      </c>
      <c r="J655" s="12" t="str">
        <f t="shared" si="32"/>
        <v/>
      </c>
      <c r="K655" s="12" t="str">
        <f>IFERROR((E655 - VLOOKUP(C655, 'Stock Entry'!B:E, 4, FALSE)) * D655, "")</f>
        <v/>
      </c>
    </row>
    <row r="656" spans="7:11" x14ac:dyDescent="0.25">
      <c r="G656" s="12" t="str">
        <f t="shared" si="30"/>
        <v/>
      </c>
      <c r="I656" s="12" t="str">
        <f t="shared" si="31"/>
        <v/>
      </c>
      <c r="J656" s="12" t="str">
        <f t="shared" si="32"/>
        <v/>
      </c>
      <c r="K656" s="12" t="str">
        <f>IFERROR((E656 - VLOOKUP(C656, 'Stock Entry'!B:E, 4, FALSE)) * D656, "")</f>
        <v/>
      </c>
    </row>
    <row r="657" spans="7:11" x14ac:dyDescent="0.25">
      <c r="G657" s="12" t="str">
        <f t="shared" si="30"/>
        <v/>
      </c>
      <c r="I657" s="12" t="str">
        <f t="shared" si="31"/>
        <v/>
      </c>
      <c r="J657" s="12" t="str">
        <f t="shared" si="32"/>
        <v/>
      </c>
      <c r="K657" s="12" t="str">
        <f>IFERROR((E657 - VLOOKUP(C657, 'Stock Entry'!B:E, 4, FALSE)) * D657, "")</f>
        <v/>
      </c>
    </row>
    <row r="658" spans="7:11" x14ac:dyDescent="0.25">
      <c r="G658" s="12" t="str">
        <f t="shared" si="30"/>
        <v/>
      </c>
      <c r="I658" s="12" t="str">
        <f t="shared" si="31"/>
        <v/>
      </c>
      <c r="J658" s="12" t="str">
        <f t="shared" si="32"/>
        <v/>
      </c>
      <c r="K658" s="12" t="str">
        <f>IFERROR((E658 - VLOOKUP(C658, 'Stock Entry'!B:E, 4, FALSE)) * D658, "")</f>
        <v/>
      </c>
    </row>
    <row r="659" spans="7:11" x14ac:dyDescent="0.25">
      <c r="G659" s="12" t="str">
        <f t="shared" si="30"/>
        <v/>
      </c>
      <c r="I659" s="12" t="str">
        <f t="shared" si="31"/>
        <v/>
      </c>
      <c r="J659" s="12" t="str">
        <f t="shared" si="32"/>
        <v/>
      </c>
      <c r="K659" s="12" t="str">
        <f>IFERROR((E659 - VLOOKUP(C659, 'Stock Entry'!B:E, 4, FALSE)) * D659, "")</f>
        <v/>
      </c>
    </row>
    <row r="660" spans="7:11" x14ac:dyDescent="0.25">
      <c r="G660" s="12" t="str">
        <f t="shared" si="30"/>
        <v/>
      </c>
      <c r="I660" s="12" t="str">
        <f t="shared" si="31"/>
        <v/>
      </c>
      <c r="J660" s="12" t="str">
        <f t="shared" si="32"/>
        <v/>
      </c>
      <c r="K660" s="12" t="str">
        <f>IFERROR((E660 - VLOOKUP(C660, 'Stock Entry'!B:E, 4, FALSE)) * D660, "")</f>
        <v/>
      </c>
    </row>
    <row r="661" spans="7:11" x14ac:dyDescent="0.25">
      <c r="G661" s="12" t="str">
        <f t="shared" si="30"/>
        <v/>
      </c>
      <c r="I661" s="12" t="str">
        <f t="shared" si="31"/>
        <v/>
      </c>
      <c r="J661" s="12" t="str">
        <f t="shared" si="32"/>
        <v/>
      </c>
      <c r="K661" s="12" t="str">
        <f>IFERROR((E661 - VLOOKUP(C661, 'Stock Entry'!B:E, 4, FALSE)) * D661, "")</f>
        <v/>
      </c>
    </row>
    <row r="662" spans="7:11" x14ac:dyDescent="0.25">
      <c r="G662" s="12" t="str">
        <f t="shared" si="30"/>
        <v/>
      </c>
      <c r="I662" s="12" t="str">
        <f t="shared" si="31"/>
        <v/>
      </c>
      <c r="J662" s="12" t="str">
        <f t="shared" si="32"/>
        <v/>
      </c>
      <c r="K662" s="12" t="str">
        <f>IFERROR((E662 - VLOOKUP(C662, 'Stock Entry'!B:E, 4, FALSE)) * D662, "")</f>
        <v/>
      </c>
    </row>
    <row r="663" spans="7:11" x14ac:dyDescent="0.25">
      <c r="G663" s="12" t="str">
        <f t="shared" si="30"/>
        <v/>
      </c>
      <c r="I663" s="12" t="str">
        <f t="shared" si="31"/>
        <v/>
      </c>
      <c r="J663" s="12" t="str">
        <f t="shared" si="32"/>
        <v/>
      </c>
      <c r="K663" s="12" t="str">
        <f>IFERROR((E663 - VLOOKUP(C663, 'Stock Entry'!B:E, 4, FALSE)) * D663, "")</f>
        <v/>
      </c>
    </row>
    <row r="664" spans="7:11" x14ac:dyDescent="0.25">
      <c r="G664" s="12" t="str">
        <f t="shared" si="30"/>
        <v/>
      </c>
      <c r="I664" s="12" t="str">
        <f t="shared" si="31"/>
        <v/>
      </c>
      <c r="J664" s="12" t="str">
        <f t="shared" si="32"/>
        <v/>
      </c>
      <c r="K664" s="12" t="str">
        <f>IFERROR((E664 - VLOOKUP(C664, 'Stock Entry'!B:E, 4, FALSE)) * D664, "")</f>
        <v/>
      </c>
    </row>
    <row r="665" spans="7:11" x14ac:dyDescent="0.25">
      <c r="G665" s="12" t="str">
        <f t="shared" si="30"/>
        <v/>
      </c>
      <c r="I665" s="12" t="str">
        <f t="shared" si="31"/>
        <v/>
      </c>
      <c r="J665" s="12" t="str">
        <f t="shared" si="32"/>
        <v/>
      </c>
      <c r="K665" s="12" t="str">
        <f>IFERROR((E665 - VLOOKUP(C665, 'Stock Entry'!B:E, 4, FALSE)) * D665, "")</f>
        <v/>
      </c>
    </row>
    <row r="666" spans="7:11" x14ac:dyDescent="0.25">
      <c r="G666" s="12" t="str">
        <f t="shared" si="30"/>
        <v/>
      </c>
      <c r="I666" s="12" t="str">
        <f t="shared" si="31"/>
        <v/>
      </c>
      <c r="J666" s="12" t="str">
        <f t="shared" si="32"/>
        <v/>
      </c>
      <c r="K666" s="12" t="str">
        <f>IFERROR((E666 - VLOOKUP(C666, 'Stock Entry'!B:E, 4, FALSE)) * D666, "")</f>
        <v/>
      </c>
    </row>
    <row r="667" spans="7:11" x14ac:dyDescent="0.25">
      <c r="G667" s="12" t="str">
        <f t="shared" si="30"/>
        <v/>
      </c>
      <c r="I667" s="12" t="str">
        <f t="shared" si="31"/>
        <v/>
      </c>
      <c r="J667" s="12" t="str">
        <f t="shared" si="32"/>
        <v/>
      </c>
      <c r="K667" s="12" t="str">
        <f>IFERROR((E667 - VLOOKUP(C667, 'Stock Entry'!B:E, 4, FALSE)) * D667, "")</f>
        <v/>
      </c>
    </row>
    <row r="668" spans="7:11" x14ac:dyDescent="0.25">
      <c r="G668" s="12" t="str">
        <f t="shared" si="30"/>
        <v/>
      </c>
      <c r="I668" s="12" t="str">
        <f t="shared" si="31"/>
        <v/>
      </c>
      <c r="J668" s="12" t="str">
        <f t="shared" si="32"/>
        <v/>
      </c>
      <c r="K668" s="12" t="str">
        <f>IFERROR((E668 - VLOOKUP(C668, 'Stock Entry'!B:E, 4, FALSE)) * D668, "")</f>
        <v/>
      </c>
    </row>
    <row r="669" spans="7:11" x14ac:dyDescent="0.25">
      <c r="G669" s="12" t="str">
        <f t="shared" si="30"/>
        <v/>
      </c>
      <c r="I669" s="12" t="str">
        <f t="shared" si="31"/>
        <v/>
      </c>
      <c r="J669" s="12" t="str">
        <f t="shared" si="32"/>
        <v/>
      </c>
      <c r="K669" s="12" t="str">
        <f>IFERROR((E669 - VLOOKUP(C669, 'Stock Entry'!B:E, 4, FALSE)) * D669, "")</f>
        <v/>
      </c>
    </row>
    <row r="670" spans="7:11" x14ac:dyDescent="0.25">
      <c r="G670" s="12" t="str">
        <f t="shared" si="30"/>
        <v/>
      </c>
      <c r="I670" s="12" t="str">
        <f t="shared" si="31"/>
        <v/>
      </c>
      <c r="J670" s="12" t="str">
        <f t="shared" si="32"/>
        <v/>
      </c>
      <c r="K670" s="12" t="str">
        <f>IFERROR((E670 - VLOOKUP(C670, 'Stock Entry'!B:E, 4, FALSE)) * D670, "")</f>
        <v/>
      </c>
    </row>
    <row r="671" spans="7:11" x14ac:dyDescent="0.25">
      <c r="G671" s="12" t="str">
        <f t="shared" si="30"/>
        <v/>
      </c>
      <c r="I671" s="12" t="str">
        <f t="shared" si="31"/>
        <v/>
      </c>
      <c r="J671" s="12" t="str">
        <f t="shared" si="32"/>
        <v/>
      </c>
      <c r="K671" s="12" t="str">
        <f>IFERROR((E671 - VLOOKUP(C671, 'Stock Entry'!B:E, 4, FALSE)) * D671, "")</f>
        <v/>
      </c>
    </row>
    <row r="672" spans="7:11" x14ac:dyDescent="0.25">
      <c r="G672" s="12" t="str">
        <f t="shared" si="30"/>
        <v/>
      </c>
      <c r="I672" s="12" t="str">
        <f t="shared" si="31"/>
        <v/>
      </c>
      <c r="J672" s="12" t="str">
        <f t="shared" si="32"/>
        <v/>
      </c>
      <c r="K672" s="12" t="str">
        <f>IFERROR((E672 - VLOOKUP(C672, 'Stock Entry'!B:E, 4, FALSE)) * D672, "")</f>
        <v/>
      </c>
    </row>
    <row r="673" spans="7:11" x14ac:dyDescent="0.25">
      <c r="G673" s="12" t="str">
        <f t="shared" si="30"/>
        <v/>
      </c>
      <c r="I673" s="12" t="str">
        <f t="shared" si="31"/>
        <v/>
      </c>
      <c r="J673" s="12" t="str">
        <f t="shared" si="32"/>
        <v/>
      </c>
      <c r="K673" s="12" t="str">
        <f>IFERROR((E673 - VLOOKUP(C673, 'Stock Entry'!B:E, 4, FALSE)) * D673, "")</f>
        <v/>
      </c>
    </row>
    <row r="674" spans="7:11" x14ac:dyDescent="0.25">
      <c r="G674" s="12" t="str">
        <f t="shared" si="30"/>
        <v/>
      </c>
      <c r="I674" s="12" t="str">
        <f t="shared" si="31"/>
        <v/>
      </c>
      <c r="J674" s="12" t="str">
        <f t="shared" si="32"/>
        <v/>
      </c>
      <c r="K674" s="12" t="str">
        <f>IFERROR((E674 - VLOOKUP(C674, 'Stock Entry'!B:E, 4, FALSE)) * D674, "")</f>
        <v/>
      </c>
    </row>
    <row r="675" spans="7:11" x14ac:dyDescent="0.25">
      <c r="G675" s="12" t="str">
        <f t="shared" si="30"/>
        <v/>
      </c>
      <c r="I675" s="12" t="str">
        <f t="shared" si="31"/>
        <v/>
      </c>
      <c r="J675" s="12" t="str">
        <f t="shared" si="32"/>
        <v/>
      </c>
      <c r="K675" s="12" t="str">
        <f>IFERROR((E675 - VLOOKUP(C675, 'Stock Entry'!B:E, 4, FALSE)) * D675, "")</f>
        <v/>
      </c>
    </row>
    <row r="676" spans="7:11" x14ac:dyDescent="0.25">
      <c r="G676" s="12" t="str">
        <f t="shared" si="30"/>
        <v/>
      </c>
      <c r="I676" s="12" t="str">
        <f t="shared" si="31"/>
        <v/>
      </c>
      <c r="J676" s="12" t="str">
        <f t="shared" si="32"/>
        <v/>
      </c>
      <c r="K676" s="12" t="str">
        <f>IFERROR((E676 - VLOOKUP(C676, 'Stock Entry'!B:E, 4, FALSE)) * D676, "")</f>
        <v/>
      </c>
    </row>
    <row r="677" spans="7:11" x14ac:dyDescent="0.25">
      <c r="G677" s="12" t="str">
        <f t="shared" si="30"/>
        <v/>
      </c>
      <c r="I677" s="12" t="str">
        <f t="shared" si="31"/>
        <v/>
      </c>
      <c r="J677" s="12" t="str">
        <f t="shared" si="32"/>
        <v/>
      </c>
      <c r="K677" s="12" t="str">
        <f>IFERROR((E677 - VLOOKUP(C677, 'Stock Entry'!B:E, 4, FALSE)) * D677, "")</f>
        <v/>
      </c>
    </row>
    <row r="678" spans="7:11" x14ac:dyDescent="0.25">
      <c r="G678" s="12" t="str">
        <f t="shared" si="30"/>
        <v/>
      </c>
      <c r="I678" s="12" t="str">
        <f t="shared" si="31"/>
        <v/>
      </c>
      <c r="J678" s="12" t="str">
        <f t="shared" si="32"/>
        <v/>
      </c>
      <c r="K678" s="12" t="str">
        <f>IFERROR((E678 - VLOOKUP(C678, 'Stock Entry'!B:E, 4, FALSE)) * D678, "")</f>
        <v/>
      </c>
    </row>
    <row r="679" spans="7:11" x14ac:dyDescent="0.25">
      <c r="G679" s="12" t="str">
        <f t="shared" si="30"/>
        <v/>
      </c>
      <c r="I679" s="12" t="str">
        <f t="shared" si="31"/>
        <v/>
      </c>
      <c r="J679" s="12" t="str">
        <f t="shared" si="32"/>
        <v/>
      </c>
      <c r="K679" s="12" t="str">
        <f>IFERROR((E679 - VLOOKUP(C679, 'Stock Entry'!B:E, 4, FALSE)) * D679, "")</f>
        <v/>
      </c>
    </row>
    <row r="680" spans="7:11" x14ac:dyDescent="0.25">
      <c r="G680" s="12" t="str">
        <f t="shared" si="30"/>
        <v/>
      </c>
      <c r="I680" s="12" t="str">
        <f t="shared" si="31"/>
        <v/>
      </c>
      <c r="J680" s="12" t="str">
        <f t="shared" si="32"/>
        <v/>
      </c>
      <c r="K680" s="12" t="str">
        <f>IFERROR((E680 - VLOOKUP(C680, 'Stock Entry'!B:E, 4, FALSE)) * D680, "")</f>
        <v/>
      </c>
    </row>
    <row r="681" spans="7:11" x14ac:dyDescent="0.25">
      <c r="G681" s="12" t="str">
        <f t="shared" si="30"/>
        <v/>
      </c>
      <c r="I681" s="12" t="str">
        <f t="shared" si="31"/>
        <v/>
      </c>
      <c r="J681" s="12" t="str">
        <f t="shared" si="32"/>
        <v/>
      </c>
      <c r="K681" s="12" t="str">
        <f>IFERROR((E681 - VLOOKUP(C681, 'Stock Entry'!B:E, 4, FALSE)) * D681, "")</f>
        <v/>
      </c>
    </row>
    <row r="682" spans="7:11" x14ac:dyDescent="0.25">
      <c r="G682" s="12" t="str">
        <f t="shared" si="30"/>
        <v/>
      </c>
      <c r="I682" s="12" t="str">
        <f t="shared" si="31"/>
        <v/>
      </c>
      <c r="J682" s="12" t="str">
        <f t="shared" si="32"/>
        <v/>
      </c>
      <c r="K682" s="12" t="str">
        <f>IFERROR((E682 - VLOOKUP(C682, 'Stock Entry'!B:E, 4, FALSE)) * D682, "")</f>
        <v/>
      </c>
    </row>
    <row r="683" spans="7:11" x14ac:dyDescent="0.25">
      <c r="G683" s="12" t="str">
        <f t="shared" si="30"/>
        <v/>
      </c>
      <c r="I683" s="12" t="str">
        <f t="shared" si="31"/>
        <v/>
      </c>
      <c r="J683" s="12" t="str">
        <f t="shared" si="32"/>
        <v/>
      </c>
      <c r="K683" s="12" t="str">
        <f>IFERROR((E683 - VLOOKUP(C683, 'Stock Entry'!B:E, 4, FALSE)) * D683, "")</f>
        <v/>
      </c>
    </row>
    <row r="684" spans="7:11" x14ac:dyDescent="0.25">
      <c r="G684" s="12" t="str">
        <f t="shared" si="30"/>
        <v/>
      </c>
      <c r="I684" s="12" t="str">
        <f t="shared" si="31"/>
        <v/>
      </c>
      <c r="J684" s="12" t="str">
        <f t="shared" si="32"/>
        <v/>
      </c>
      <c r="K684" s="12" t="str">
        <f>IFERROR((E684 - VLOOKUP(C684, 'Stock Entry'!B:E, 4, FALSE)) * D684, "")</f>
        <v/>
      </c>
    </row>
    <row r="685" spans="7:11" x14ac:dyDescent="0.25">
      <c r="G685" s="12" t="str">
        <f t="shared" si="30"/>
        <v/>
      </c>
      <c r="I685" s="12" t="str">
        <f t="shared" si="31"/>
        <v/>
      </c>
      <c r="J685" s="12" t="str">
        <f t="shared" si="32"/>
        <v/>
      </c>
      <c r="K685" s="12" t="str">
        <f>IFERROR((E685 - VLOOKUP(C685, 'Stock Entry'!B:E, 4, FALSE)) * D685, "")</f>
        <v/>
      </c>
    </row>
    <row r="686" spans="7:11" x14ac:dyDescent="0.25">
      <c r="G686" s="12" t="str">
        <f t="shared" si="30"/>
        <v/>
      </c>
      <c r="I686" s="12" t="str">
        <f t="shared" si="31"/>
        <v/>
      </c>
      <c r="J686" s="12" t="str">
        <f t="shared" si="32"/>
        <v/>
      </c>
      <c r="K686" s="12" t="str">
        <f>IFERROR((E686 - VLOOKUP(C686, 'Stock Entry'!B:E, 4, FALSE)) * D686, "")</f>
        <v/>
      </c>
    </row>
    <row r="687" spans="7:11" x14ac:dyDescent="0.25">
      <c r="G687" s="12" t="str">
        <f t="shared" si="30"/>
        <v/>
      </c>
      <c r="I687" s="12" t="str">
        <f t="shared" si="31"/>
        <v/>
      </c>
      <c r="J687" s="12" t="str">
        <f t="shared" si="32"/>
        <v/>
      </c>
      <c r="K687" s="12" t="str">
        <f>IFERROR((E687 - VLOOKUP(C687, 'Stock Entry'!B:E, 4, FALSE)) * D687, "")</f>
        <v/>
      </c>
    </row>
    <row r="688" spans="7:11" x14ac:dyDescent="0.25">
      <c r="G688" s="12" t="str">
        <f t="shared" si="30"/>
        <v/>
      </c>
      <c r="I688" s="12" t="str">
        <f t="shared" si="31"/>
        <v/>
      </c>
      <c r="J688" s="12" t="str">
        <f t="shared" si="32"/>
        <v/>
      </c>
      <c r="K688" s="12" t="str">
        <f>IFERROR((E688 - VLOOKUP(C688, 'Stock Entry'!B:E, 4, FALSE)) * D688, "")</f>
        <v/>
      </c>
    </row>
    <row r="689" spans="7:11" x14ac:dyDescent="0.25">
      <c r="G689" s="12" t="str">
        <f t="shared" si="30"/>
        <v/>
      </c>
      <c r="I689" s="12" t="str">
        <f t="shared" si="31"/>
        <v/>
      </c>
      <c r="J689" s="12" t="str">
        <f t="shared" si="32"/>
        <v/>
      </c>
      <c r="K689" s="12" t="str">
        <f>IFERROR((E689 - VLOOKUP(C689, 'Stock Entry'!B:E, 4, FALSE)) * D689, "")</f>
        <v/>
      </c>
    </row>
    <row r="690" spans="7:11" x14ac:dyDescent="0.25">
      <c r="G690" s="12" t="str">
        <f t="shared" si="30"/>
        <v/>
      </c>
      <c r="I690" s="12" t="str">
        <f t="shared" si="31"/>
        <v/>
      </c>
      <c r="J690" s="12" t="str">
        <f t="shared" si="32"/>
        <v/>
      </c>
      <c r="K690" s="12" t="str">
        <f>IFERROR((E690 - VLOOKUP(C690, 'Stock Entry'!B:E, 4, FALSE)) * D690, "")</f>
        <v/>
      </c>
    </row>
    <row r="691" spans="7:11" x14ac:dyDescent="0.25">
      <c r="G691" s="12" t="str">
        <f t="shared" si="30"/>
        <v/>
      </c>
      <c r="I691" s="12" t="str">
        <f t="shared" si="31"/>
        <v/>
      </c>
      <c r="J691" s="12" t="str">
        <f t="shared" si="32"/>
        <v/>
      </c>
      <c r="K691" s="12" t="str">
        <f>IFERROR((E691 - VLOOKUP(C691, 'Stock Entry'!B:E, 4, FALSE)) * D691, "")</f>
        <v/>
      </c>
    </row>
    <row r="692" spans="7:11" x14ac:dyDescent="0.25">
      <c r="G692" s="12" t="str">
        <f t="shared" si="30"/>
        <v/>
      </c>
      <c r="I692" s="12" t="str">
        <f t="shared" si="31"/>
        <v/>
      </c>
      <c r="J692" s="12" t="str">
        <f t="shared" si="32"/>
        <v/>
      </c>
      <c r="K692" s="12" t="str">
        <f>IFERROR((E692 - VLOOKUP(C692, 'Stock Entry'!B:E, 4, FALSE)) * D692, "")</f>
        <v/>
      </c>
    </row>
    <row r="693" spans="7:11" x14ac:dyDescent="0.25">
      <c r="G693" s="12" t="str">
        <f t="shared" si="30"/>
        <v/>
      </c>
      <c r="I693" s="12" t="str">
        <f t="shared" si="31"/>
        <v/>
      </c>
      <c r="J693" s="12" t="str">
        <f t="shared" si="32"/>
        <v/>
      </c>
      <c r="K693" s="12" t="str">
        <f>IFERROR((E693 - VLOOKUP(C693, 'Stock Entry'!B:E, 4, FALSE)) * D693, "")</f>
        <v/>
      </c>
    </row>
    <row r="694" spans="7:11" x14ac:dyDescent="0.25">
      <c r="G694" s="12" t="str">
        <f t="shared" si="30"/>
        <v/>
      </c>
      <c r="I694" s="12" t="str">
        <f t="shared" si="31"/>
        <v/>
      </c>
      <c r="J694" s="12" t="str">
        <f t="shared" si="32"/>
        <v/>
      </c>
      <c r="K694" s="12" t="str">
        <f>IFERROR((E694 - VLOOKUP(C694, 'Stock Entry'!B:E, 4, FALSE)) * D694, "")</f>
        <v/>
      </c>
    </row>
    <row r="695" spans="7:11" x14ac:dyDescent="0.25">
      <c r="G695" s="12" t="str">
        <f t="shared" si="30"/>
        <v/>
      </c>
      <c r="I695" s="12" t="str">
        <f t="shared" si="31"/>
        <v/>
      </c>
      <c r="J695" s="12" t="str">
        <f t="shared" si="32"/>
        <v/>
      </c>
      <c r="K695" s="12" t="str">
        <f>IFERROR((E695 - VLOOKUP(C695, 'Stock Entry'!B:E, 4, FALSE)) * D695, "")</f>
        <v/>
      </c>
    </row>
    <row r="696" spans="7:11" x14ac:dyDescent="0.25">
      <c r="G696" s="12" t="str">
        <f t="shared" si="30"/>
        <v/>
      </c>
      <c r="I696" s="12" t="str">
        <f t="shared" si="31"/>
        <v/>
      </c>
      <c r="J696" s="12" t="str">
        <f t="shared" si="32"/>
        <v/>
      </c>
      <c r="K696" s="12" t="str">
        <f>IFERROR((E696 - VLOOKUP(C696, 'Stock Entry'!B:E, 4, FALSE)) * D696, "")</f>
        <v/>
      </c>
    </row>
    <row r="697" spans="7:11" x14ac:dyDescent="0.25">
      <c r="G697" s="12" t="str">
        <f t="shared" si="30"/>
        <v/>
      </c>
      <c r="I697" s="12" t="str">
        <f t="shared" si="31"/>
        <v/>
      </c>
      <c r="J697" s="12" t="str">
        <f t="shared" si="32"/>
        <v/>
      </c>
      <c r="K697" s="12" t="str">
        <f>IFERROR((E697 - VLOOKUP(C697, 'Stock Entry'!B:E, 4, FALSE)) * D697, "")</f>
        <v/>
      </c>
    </row>
    <row r="698" spans="7:11" x14ac:dyDescent="0.25">
      <c r="G698" s="12" t="str">
        <f t="shared" si="30"/>
        <v/>
      </c>
      <c r="I698" s="12" t="str">
        <f t="shared" si="31"/>
        <v/>
      </c>
      <c r="J698" s="12" t="str">
        <f t="shared" si="32"/>
        <v/>
      </c>
      <c r="K698" s="12" t="str">
        <f>IFERROR((E698 - VLOOKUP(C698, 'Stock Entry'!B:E, 4, FALSE)) * D698, "")</f>
        <v/>
      </c>
    </row>
    <row r="699" spans="7:11" x14ac:dyDescent="0.25">
      <c r="G699" s="12" t="str">
        <f t="shared" si="30"/>
        <v/>
      </c>
      <c r="I699" s="12" t="str">
        <f t="shared" si="31"/>
        <v/>
      </c>
      <c r="J699" s="12" t="str">
        <f t="shared" si="32"/>
        <v/>
      </c>
      <c r="K699" s="12" t="str">
        <f>IFERROR((E699 - VLOOKUP(C699, 'Stock Entry'!B:E, 4, FALSE)) * D699, "")</f>
        <v/>
      </c>
    </row>
    <row r="700" spans="7:11" x14ac:dyDescent="0.25">
      <c r="G700" s="12" t="str">
        <f t="shared" si="30"/>
        <v/>
      </c>
      <c r="I700" s="12" t="str">
        <f t="shared" si="31"/>
        <v/>
      </c>
      <c r="J700" s="12" t="str">
        <f t="shared" si="32"/>
        <v/>
      </c>
      <c r="K700" s="12" t="str">
        <f>IFERROR((E700 - VLOOKUP(C700, 'Stock Entry'!B:E, 4, FALSE)) * D700, "")</f>
        <v/>
      </c>
    </row>
    <row r="701" spans="7:11" x14ac:dyDescent="0.25">
      <c r="G701" s="12" t="str">
        <f t="shared" si="30"/>
        <v/>
      </c>
      <c r="I701" s="12" t="str">
        <f t="shared" si="31"/>
        <v/>
      </c>
      <c r="J701" s="12" t="str">
        <f t="shared" si="32"/>
        <v/>
      </c>
      <c r="K701" s="12" t="str">
        <f>IFERROR((E701 - VLOOKUP(C701, 'Stock Entry'!B:E, 4, FALSE)) * D701, "")</f>
        <v/>
      </c>
    </row>
    <row r="702" spans="7:11" x14ac:dyDescent="0.25">
      <c r="G702" s="12" t="str">
        <f t="shared" si="30"/>
        <v/>
      </c>
      <c r="I702" s="12" t="str">
        <f t="shared" si="31"/>
        <v/>
      </c>
      <c r="J702" s="12" t="str">
        <f t="shared" si="32"/>
        <v/>
      </c>
      <c r="K702" s="12" t="str">
        <f>IFERROR((E702 - VLOOKUP(C702, 'Stock Entry'!B:E, 4, FALSE)) * D702, "")</f>
        <v/>
      </c>
    </row>
    <row r="703" spans="7:11" x14ac:dyDescent="0.25">
      <c r="G703" s="12" t="str">
        <f t="shared" si="30"/>
        <v/>
      </c>
      <c r="I703" s="12" t="str">
        <f t="shared" si="31"/>
        <v/>
      </c>
      <c r="J703" s="12" t="str">
        <f t="shared" si="32"/>
        <v/>
      </c>
      <c r="K703" s="12" t="str">
        <f>IFERROR((E703 - VLOOKUP(C703, 'Stock Entry'!B:E, 4, FALSE)) * D703, "")</f>
        <v/>
      </c>
    </row>
    <row r="704" spans="7:11" x14ac:dyDescent="0.25">
      <c r="G704" s="12" t="str">
        <f t="shared" si="30"/>
        <v/>
      </c>
      <c r="I704" s="12" t="str">
        <f t="shared" si="31"/>
        <v/>
      </c>
      <c r="J704" s="12" t="str">
        <f t="shared" si="32"/>
        <v/>
      </c>
      <c r="K704" s="12" t="str">
        <f>IFERROR((E704 - VLOOKUP(C704, 'Stock Entry'!B:E, 4, FALSE)) * D704, "")</f>
        <v/>
      </c>
    </row>
    <row r="705" spans="7:11" x14ac:dyDescent="0.25">
      <c r="G705" s="12" t="str">
        <f t="shared" si="30"/>
        <v/>
      </c>
      <c r="I705" s="12" t="str">
        <f t="shared" si="31"/>
        <v/>
      </c>
      <c r="J705" s="12" t="str">
        <f t="shared" si="32"/>
        <v/>
      </c>
      <c r="K705" s="12" t="str">
        <f>IFERROR((E705 - VLOOKUP(C705, 'Stock Entry'!B:E, 4, FALSE)) * D705, "")</f>
        <v/>
      </c>
    </row>
    <row r="706" spans="7:11" x14ac:dyDescent="0.25">
      <c r="G706" s="12" t="str">
        <f t="shared" si="30"/>
        <v/>
      </c>
      <c r="I706" s="12" t="str">
        <f t="shared" si="31"/>
        <v/>
      </c>
      <c r="J706" s="12" t="str">
        <f t="shared" si="32"/>
        <v/>
      </c>
      <c r="K706" s="12" t="str">
        <f>IFERROR((E706 - VLOOKUP(C706, 'Stock Entry'!B:E, 4, FALSE)) * D706, "")</f>
        <v/>
      </c>
    </row>
    <row r="707" spans="7:11" x14ac:dyDescent="0.25">
      <c r="G707" s="12" t="str">
        <f t="shared" ref="G707:G770" si="33">IF(F707="Full Cash", D707*E707, "")</f>
        <v/>
      </c>
      <c r="I707" s="12" t="str">
        <f t="shared" ref="I707:I770" si="34">IF(F707="Full Credit",D707*E707,IF(F707="Partly Payment",(D707*E707)-H707,""))</f>
        <v/>
      </c>
      <c r="J707" s="12" t="str">
        <f t="shared" ref="J707:J770" si="35">IF(F707="Full Cash", G707, IF(F707="Full Credit", I707, IF(F707="Partly Payment", H707+I707, "")))</f>
        <v/>
      </c>
      <c r="K707" s="12" t="str">
        <f>IFERROR((E707 - VLOOKUP(C707, 'Stock Entry'!B:E, 4, FALSE)) * D707, "")</f>
        <v/>
      </c>
    </row>
    <row r="708" spans="7:11" x14ac:dyDescent="0.25">
      <c r="G708" s="12" t="str">
        <f t="shared" si="33"/>
        <v/>
      </c>
      <c r="I708" s="12" t="str">
        <f t="shared" si="34"/>
        <v/>
      </c>
      <c r="J708" s="12" t="str">
        <f t="shared" si="35"/>
        <v/>
      </c>
      <c r="K708" s="12" t="str">
        <f>IFERROR((E708 - VLOOKUP(C708, 'Stock Entry'!B:E, 4, FALSE)) * D708, "")</f>
        <v/>
      </c>
    </row>
    <row r="709" spans="7:11" x14ac:dyDescent="0.25">
      <c r="G709" s="12" t="str">
        <f t="shared" si="33"/>
        <v/>
      </c>
      <c r="I709" s="12" t="str">
        <f t="shared" si="34"/>
        <v/>
      </c>
      <c r="J709" s="12" t="str">
        <f t="shared" si="35"/>
        <v/>
      </c>
      <c r="K709" s="12" t="str">
        <f>IFERROR((E709 - VLOOKUP(C709, 'Stock Entry'!B:E, 4, FALSE)) * D709, "")</f>
        <v/>
      </c>
    </row>
    <row r="710" spans="7:11" x14ac:dyDescent="0.25">
      <c r="G710" s="12" t="str">
        <f t="shared" si="33"/>
        <v/>
      </c>
      <c r="I710" s="12" t="str">
        <f t="shared" si="34"/>
        <v/>
      </c>
      <c r="J710" s="12" t="str">
        <f t="shared" si="35"/>
        <v/>
      </c>
      <c r="K710" s="12" t="str">
        <f>IFERROR((E710 - VLOOKUP(C710, 'Stock Entry'!B:E, 4, FALSE)) * D710, "")</f>
        <v/>
      </c>
    </row>
    <row r="711" spans="7:11" x14ac:dyDescent="0.25">
      <c r="G711" s="12" t="str">
        <f t="shared" si="33"/>
        <v/>
      </c>
      <c r="I711" s="12" t="str">
        <f t="shared" si="34"/>
        <v/>
      </c>
      <c r="J711" s="12" t="str">
        <f t="shared" si="35"/>
        <v/>
      </c>
      <c r="K711" s="12" t="str">
        <f>IFERROR((E711 - VLOOKUP(C711, 'Stock Entry'!B:E, 4, FALSE)) * D711, "")</f>
        <v/>
      </c>
    </row>
    <row r="712" spans="7:11" x14ac:dyDescent="0.25">
      <c r="G712" s="12" t="str">
        <f t="shared" si="33"/>
        <v/>
      </c>
      <c r="I712" s="12" t="str">
        <f t="shared" si="34"/>
        <v/>
      </c>
      <c r="J712" s="12" t="str">
        <f t="shared" si="35"/>
        <v/>
      </c>
      <c r="K712" s="12" t="str">
        <f>IFERROR((E712 - VLOOKUP(C712, 'Stock Entry'!B:E, 4, FALSE)) * D712, "")</f>
        <v/>
      </c>
    </row>
    <row r="713" spans="7:11" x14ac:dyDescent="0.25">
      <c r="G713" s="12" t="str">
        <f t="shared" si="33"/>
        <v/>
      </c>
      <c r="I713" s="12" t="str">
        <f t="shared" si="34"/>
        <v/>
      </c>
      <c r="J713" s="12" t="str">
        <f t="shared" si="35"/>
        <v/>
      </c>
      <c r="K713" s="12" t="str">
        <f>IFERROR((E713 - VLOOKUP(C713, 'Stock Entry'!B:E, 4, FALSE)) * D713, "")</f>
        <v/>
      </c>
    </row>
    <row r="714" spans="7:11" x14ac:dyDescent="0.25">
      <c r="G714" s="12" t="str">
        <f t="shared" si="33"/>
        <v/>
      </c>
      <c r="I714" s="12" t="str">
        <f t="shared" si="34"/>
        <v/>
      </c>
      <c r="J714" s="12" t="str">
        <f t="shared" si="35"/>
        <v/>
      </c>
      <c r="K714" s="12" t="str">
        <f>IFERROR((E714 - VLOOKUP(C714, 'Stock Entry'!B:E, 4, FALSE)) * D714, "")</f>
        <v/>
      </c>
    </row>
    <row r="715" spans="7:11" x14ac:dyDescent="0.25">
      <c r="G715" s="12" t="str">
        <f t="shared" si="33"/>
        <v/>
      </c>
      <c r="I715" s="12" t="str">
        <f t="shared" si="34"/>
        <v/>
      </c>
      <c r="J715" s="12" t="str">
        <f t="shared" si="35"/>
        <v/>
      </c>
      <c r="K715" s="12" t="str">
        <f>IFERROR((E715 - VLOOKUP(C715, 'Stock Entry'!B:E, 4, FALSE)) * D715, "")</f>
        <v/>
      </c>
    </row>
    <row r="716" spans="7:11" x14ac:dyDescent="0.25">
      <c r="G716" s="12" t="str">
        <f t="shared" si="33"/>
        <v/>
      </c>
      <c r="I716" s="12" t="str">
        <f t="shared" si="34"/>
        <v/>
      </c>
      <c r="J716" s="12" t="str">
        <f t="shared" si="35"/>
        <v/>
      </c>
      <c r="K716" s="12" t="str">
        <f>IFERROR((E716 - VLOOKUP(C716, 'Stock Entry'!B:E, 4, FALSE)) * D716, "")</f>
        <v/>
      </c>
    </row>
    <row r="717" spans="7:11" x14ac:dyDescent="0.25">
      <c r="G717" s="12" t="str">
        <f t="shared" si="33"/>
        <v/>
      </c>
      <c r="I717" s="12" t="str">
        <f t="shared" si="34"/>
        <v/>
      </c>
      <c r="J717" s="12" t="str">
        <f t="shared" si="35"/>
        <v/>
      </c>
      <c r="K717" s="12" t="str">
        <f>IFERROR((E717 - VLOOKUP(C717, 'Stock Entry'!B:E, 4, FALSE)) * D717, "")</f>
        <v/>
      </c>
    </row>
    <row r="718" spans="7:11" x14ac:dyDescent="0.25">
      <c r="G718" s="12" t="str">
        <f t="shared" si="33"/>
        <v/>
      </c>
      <c r="I718" s="12" t="str">
        <f t="shared" si="34"/>
        <v/>
      </c>
      <c r="J718" s="12" t="str">
        <f t="shared" si="35"/>
        <v/>
      </c>
      <c r="K718" s="12" t="str">
        <f>IFERROR((E718 - VLOOKUP(C718, 'Stock Entry'!B:E, 4, FALSE)) * D718, "")</f>
        <v/>
      </c>
    </row>
    <row r="719" spans="7:11" x14ac:dyDescent="0.25">
      <c r="G719" s="12" t="str">
        <f t="shared" si="33"/>
        <v/>
      </c>
      <c r="I719" s="12" t="str">
        <f t="shared" si="34"/>
        <v/>
      </c>
      <c r="J719" s="12" t="str">
        <f t="shared" si="35"/>
        <v/>
      </c>
      <c r="K719" s="12" t="str">
        <f>IFERROR((E719 - VLOOKUP(C719, 'Stock Entry'!B:E, 4, FALSE)) * D719, "")</f>
        <v/>
      </c>
    </row>
    <row r="720" spans="7:11" x14ac:dyDescent="0.25">
      <c r="G720" s="12" t="str">
        <f t="shared" si="33"/>
        <v/>
      </c>
      <c r="I720" s="12" t="str">
        <f t="shared" si="34"/>
        <v/>
      </c>
      <c r="J720" s="12" t="str">
        <f t="shared" si="35"/>
        <v/>
      </c>
      <c r="K720" s="12" t="str">
        <f>IFERROR((E720 - VLOOKUP(C720, 'Stock Entry'!B:E, 4, FALSE)) * D720, "")</f>
        <v/>
      </c>
    </row>
    <row r="721" spans="7:11" x14ac:dyDescent="0.25">
      <c r="G721" s="12" t="str">
        <f t="shared" si="33"/>
        <v/>
      </c>
      <c r="I721" s="12" t="str">
        <f t="shared" si="34"/>
        <v/>
      </c>
      <c r="J721" s="12" t="str">
        <f t="shared" si="35"/>
        <v/>
      </c>
      <c r="K721" s="12" t="str">
        <f>IFERROR((E721 - VLOOKUP(C721, 'Stock Entry'!B:E, 4, FALSE)) * D721, "")</f>
        <v/>
      </c>
    </row>
    <row r="722" spans="7:11" x14ac:dyDescent="0.25">
      <c r="G722" s="12" t="str">
        <f t="shared" si="33"/>
        <v/>
      </c>
      <c r="I722" s="12" t="str">
        <f t="shared" si="34"/>
        <v/>
      </c>
      <c r="J722" s="12" t="str">
        <f t="shared" si="35"/>
        <v/>
      </c>
      <c r="K722" s="12" t="str">
        <f>IFERROR((E722 - VLOOKUP(C722, 'Stock Entry'!B:E, 4, FALSE)) * D722, "")</f>
        <v/>
      </c>
    </row>
    <row r="723" spans="7:11" x14ac:dyDescent="0.25">
      <c r="G723" s="12" t="str">
        <f t="shared" si="33"/>
        <v/>
      </c>
      <c r="I723" s="12" t="str">
        <f t="shared" si="34"/>
        <v/>
      </c>
      <c r="J723" s="12" t="str">
        <f t="shared" si="35"/>
        <v/>
      </c>
      <c r="K723" s="12" t="str">
        <f>IFERROR((E723 - VLOOKUP(C723, 'Stock Entry'!B:E, 4, FALSE)) * D723, "")</f>
        <v/>
      </c>
    </row>
    <row r="724" spans="7:11" x14ac:dyDescent="0.25">
      <c r="G724" s="12" t="str">
        <f t="shared" si="33"/>
        <v/>
      </c>
      <c r="I724" s="12" t="str">
        <f t="shared" si="34"/>
        <v/>
      </c>
      <c r="J724" s="12" t="str">
        <f t="shared" si="35"/>
        <v/>
      </c>
      <c r="K724" s="12" t="str">
        <f>IFERROR((E724 - VLOOKUP(C724, 'Stock Entry'!B:E, 4, FALSE)) * D724, "")</f>
        <v/>
      </c>
    </row>
    <row r="725" spans="7:11" x14ac:dyDescent="0.25">
      <c r="G725" s="12" t="str">
        <f t="shared" si="33"/>
        <v/>
      </c>
      <c r="I725" s="12" t="str">
        <f t="shared" si="34"/>
        <v/>
      </c>
      <c r="J725" s="12" t="str">
        <f t="shared" si="35"/>
        <v/>
      </c>
      <c r="K725" s="12" t="str">
        <f>IFERROR((E725 - VLOOKUP(C725, 'Stock Entry'!B:E, 4, FALSE)) * D725, "")</f>
        <v/>
      </c>
    </row>
    <row r="726" spans="7:11" x14ac:dyDescent="0.25">
      <c r="G726" s="12" t="str">
        <f t="shared" si="33"/>
        <v/>
      </c>
      <c r="I726" s="12" t="str">
        <f t="shared" si="34"/>
        <v/>
      </c>
      <c r="J726" s="12" t="str">
        <f t="shared" si="35"/>
        <v/>
      </c>
      <c r="K726" s="12" t="str">
        <f>IFERROR((E726 - VLOOKUP(C726, 'Stock Entry'!B:E, 4, FALSE)) * D726, "")</f>
        <v/>
      </c>
    </row>
    <row r="727" spans="7:11" x14ac:dyDescent="0.25">
      <c r="G727" s="12" t="str">
        <f t="shared" si="33"/>
        <v/>
      </c>
      <c r="I727" s="12" t="str">
        <f t="shared" si="34"/>
        <v/>
      </c>
      <c r="J727" s="12" t="str">
        <f t="shared" si="35"/>
        <v/>
      </c>
      <c r="K727" s="12" t="str">
        <f>IFERROR((E727 - VLOOKUP(C727, 'Stock Entry'!B:E, 4, FALSE)) * D727, "")</f>
        <v/>
      </c>
    </row>
    <row r="728" spans="7:11" x14ac:dyDescent="0.25">
      <c r="G728" s="12" t="str">
        <f t="shared" si="33"/>
        <v/>
      </c>
      <c r="I728" s="12" t="str">
        <f t="shared" si="34"/>
        <v/>
      </c>
      <c r="J728" s="12" t="str">
        <f t="shared" si="35"/>
        <v/>
      </c>
      <c r="K728" s="12" t="str">
        <f>IFERROR((E728 - VLOOKUP(C728, 'Stock Entry'!B:E, 4, FALSE)) * D728, "")</f>
        <v/>
      </c>
    </row>
    <row r="729" spans="7:11" x14ac:dyDescent="0.25">
      <c r="G729" s="12" t="str">
        <f t="shared" si="33"/>
        <v/>
      </c>
      <c r="I729" s="12" t="str">
        <f t="shared" si="34"/>
        <v/>
      </c>
      <c r="J729" s="12" t="str">
        <f t="shared" si="35"/>
        <v/>
      </c>
      <c r="K729" s="12" t="str">
        <f>IFERROR((E729 - VLOOKUP(C729, 'Stock Entry'!B:E, 4, FALSE)) * D729, "")</f>
        <v/>
      </c>
    </row>
    <row r="730" spans="7:11" x14ac:dyDescent="0.25">
      <c r="G730" s="12" t="str">
        <f t="shared" si="33"/>
        <v/>
      </c>
      <c r="I730" s="12" t="str">
        <f t="shared" si="34"/>
        <v/>
      </c>
      <c r="J730" s="12" t="str">
        <f t="shared" si="35"/>
        <v/>
      </c>
      <c r="K730" s="12" t="str">
        <f>IFERROR((E730 - VLOOKUP(C730, 'Stock Entry'!B:E, 4, FALSE)) * D730, "")</f>
        <v/>
      </c>
    </row>
    <row r="731" spans="7:11" x14ac:dyDescent="0.25">
      <c r="G731" s="12" t="str">
        <f t="shared" si="33"/>
        <v/>
      </c>
      <c r="I731" s="12" t="str">
        <f t="shared" si="34"/>
        <v/>
      </c>
      <c r="J731" s="12" t="str">
        <f t="shared" si="35"/>
        <v/>
      </c>
      <c r="K731" s="12" t="str">
        <f>IFERROR((E731 - VLOOKUP(C731, 'Stock Entry'!B:E, 4, FALSE)) * D731, "")</f>
        <v/>
      </c>
    </row>
    <row r="732" spans="7:11" x14ac:dyDescent="0.25">
      <c r="G732" s="12" t="str">
        <f t="shared" si="33"/>
        <v/>
      </c>
      <c r="I732" s="12" t="str">
        <f t="shared" si="34"/>
        <v/>
      </c>
      <c r="J732" s="12" t="str">
        <f t="shared" si="35"/>
        <v/>
      </c>
      <c r="K732" s="12" t="str">
        <f>IFERROR((E732 - VLOOKUP(C732, 'Stock Entry'!B:E, 4, FALSE)) * D732, "")</f>
        <v/>
      </c>
    </row>
    <row r="733" spans="7:11" x14ac:dyDescent="0.25">
      <c r="G733" s="12" t="str">
        <f t="shared" si="33"/>
        <v/>
      </c>
      <c r="I733" s="12" t="str">
        <f t="shared" si="34"/>
        <v/>
      </c>
      <c r="J733" s="12" t="str">
        <f t="shared" si="35"/>
        <v/>
      </c>
      <c r="K733" s="12" t="str">
        <f>IFERROR((E733 - VLOOKUP(C733, 'Stock Entry'!B:E, 4, FALSE)) * D733, "")</f>
        <v/>
      </c>
    </row>
    <row r="734" spans="7:11" x14ac:dyDescent="0.25">
      <c r="G734" s="12" t="str">
        <f t="shared" si="33"/>
        <v/>
      </c>
      <c r="I734" s="12" t="str">
        <f t="shared" si="34"/>
        <v/>
      </c>
      <c r="J734" s="12" t="str">
        <f t="shared" si="35"/>
        <v/>
      </c>
      <c r="K734" s="12" t="str">
        <f>IFERROR((E734 - VLOOKUP(C734, 'Stock Entry'!B:E, 4, FALSE)) * D734, "")</f>
        <v/>
      </c>
    </row>
    <row r="735" spans="7:11" x14ac:dyDescent="0.25">
      <c r="G735" s="12" t="str">
        <f t="shared" si="33"/>
        <v/>
      </c>
      <c r="I735" s="12" t="str">
        <f t="shared" si="34"/>
        <v/>
      </c>
      <c r="J735" s="12" t="str">
        <f t="shared" si="35"/>
        <v/>
      </c>
      <c r="K735" s="12" t="str">
        <f>IFERROR((E735 - VLOOKUP(C735, 'Stock Entry'!B:E, 4, FALSE)) * D735, "")</f>
        <v/>
      </c>
    </row>
    <row r="736" spans="7:11" x14ac:dyDescent="0.25">
      <c r="G736" s="12" t="str">
        <f t="shared" si="33"/>
        <v/>
      </c>
      <c r="I736" s="12" t="str">
        <f t="shared" si="34"/>
        <v/>
      </c>
      <c r="J736" s="12" t="str">
        <f t="shared" si="35"/>
        <v/>
      </c>
      <c r="K736" s="12" t="str">
        <f>IFERROR((E736 - VLOOKUP(C736, 'Stock Entry'!B:E, 4, FALSE)) * D736, "")</f>
        <v/>
      </c>
    </row>
    <row r="737" spans="7:11" x14ac:dyDescent="0.25">
      <c r="G737" s="12" t="str">
        <f t="shared" si="33"/>
        <v/>
      </c>
      <c r="I737" s="12" t="str">
        <f t="shared" si="34"/>
        <v/>
      </c>
      <c r="J737" s="12" t="str">
        <f t="shared" si="35"/>
        <v/>
      </c>
      <c r="K737" s="12" t="str">
        <f>IFERROR((E737 - VLOOKUP(C737, 'Stock Entry'!B:E, 4, FALSE)) * D737, "")</f>
        <v/>
      </c>
    </row>
    <row r="738" spans="7:11" x14ac:dyDescent="0.25">
      <c r="G738" s="12" t="str">
        <f t="shared" si="33"/>
        <v/>
      </c>
      <c r="I738" s="12" t="str">
        <f t="shared" si="34"/>
        <v/>
      </c>
      <c r="J738" s="12" t="str">
        <f t="shared" si="35"/>
        <v/>
      </c>
      <c r="K738" s="12" t="str">
        <f>IFERROR((E738 - VLOOKUP(C738, 'Stock Entry'!B:E, 4, FALSE)) * D738, "")</f>
        <v/>
      </c>
    </row>
    <row r="739" spans="7:11" x14ac:dyDescent="0.25">
      <c r="G739" s="12" t="str">
        <f t="shared" si="33"/>
        <v/>
      </c>
      <c r="I739" s="12" t="str">
        <f t="shared" si="34"/>
        <v/>
      </c>
      <c r="J739" s="12" t="str">
        <f t="shared" si="35"/>
        <v/>
      </c>
      <c r="K739" s="12" t="str">
        <f>IFERROR((E739 - VLOOKUP(C739, 'Stock Entry'!B:E, 4, FALSE)) * D739, "")</f>
        <v/>
      </c>
    </row>
    <row r="740" spans="7:11" x14ac:dyDescent="0.25">
      <c r="G740" s="12" t="str">
        <f t="shared" si="33"/>
        <v/>
      </c>
      <c r="I740" s="12" t="str">
        <f t="shared" si="34"/>
        <v/>
      </c>
      <c r="J740" s="12" t="str">
        <f t="shared" si="35"/>
        <v/>
      </c>
      <c r="K740" s="12" t="str">
        <f>IFERROR((E740 - VLOOKUP(C740, 'Stock Entry'!B:E, 4, FALSE)) * D740, "")</f>
        <v/>
      </c>
    </row>
    <row r="741" spans="7:11" x14ac:dyDescent="0.25">
      <c r="G741" s="12" t="str">
        <f t="shared" si="33"/>
        <v/>
      </c>
      <c r="I741" s="12" t="str">
        <f t="shared" si="34"/>
        <v/>
      </c>
      <c r="J741" s="12" t="str">
        <f t="shared" si="35"/>
        <v/>
      </c>
      <c r="K741" s="12" t="str">
        <f>IFERROR((E741 - VLOOKUP(C741, 'Stock Entry'!B:E, 4, FALSE)) * D741, "")</f>
        <v/>
      </c>
    </row>
    <row r="742" spans="7:11" x14ac:dyDescent="0.25">
      <c r="G742" s="12" t="str">
        <f t="shared" si="33"/>
        <v/>
      </c>
      <c r="I742" s="12" t="str">
        <f t="shared" si="34"/>
        <v/>
      </c>
      <c r="J742" s="12" t="str">
        <f t="shared" si="35"/>
        <v/>
      </c>
      <c r="K742" s="12" t="str">
        <f>IFERROR((E742 - VLOOKUP(C742, 'Stock Entry'!B:E, 4, FALSE)) * D742, "")</f>
        <v/>
      </c>
    </row>
    <row r="743" spans="7:11" x14ac:dyDescent="0.25">
      <c r="G743" s="12" t="str">
        <f t="shared" si="33"/>
        <v/>
      </c>
      <c r="I743" s="12" t="str">
        <f t="shared" si="34"/>
        <v/>
      </c>
      <c r="J743" s="12" t="str">
        <f t="shared" si="35"/>
        <v/>
      </c>
      <c r="K743" s="12" t="str">
        <f>IFERROR((E743 - VLOOKUP(C743, 'Stock Entry'!B:E, 4, FALSE)) * D743, "")</f>
        <v/>
      </c>
    </row>
    <row r="744" spans="7:11" x14ac:dyDescent="0.25">
      <c r="G744" s="12" t="str">
        <f t="shared" si="33"/>
        <v/>
      </c>
      <c r="I744" s="12" t="str">
        <f t="shared" si="34"/>
        <v/>
      </c>
      <c r="J744" s="12" t="str">
        <f t="shared" si="35"/>
        <v/>
      </c>
      <c r="K744" s="12" t="str">
        <f>IFERROR((E744 - VLOOKUP(C744, 'Stock Entry'!B:E, 4, FALSE)) * D744, "")</f>
        <v/>
      </c>
    </row>
    <row r="745" spans="7:11" x14ac:dyDescent="0.25">
      <c r="G745" s="12" t="str">
        <f t="shared" si="33"/>
        <v/>
      </c>
      <c r="I745" s="12" t="str">
        <f t="shared" si="34"/>
        <v/>
      </c>
      <c r="J745" s="12" t="str">
        <f t="shared" si="35"/>
        <v/>
      </c>
      <c r="K745" s="12" t="str">
        <f>IFERROR((E745 - VLOOKUP(C745, 'Stock Entry'!B:E, 4, FALSE)) * D745, "")</f>
        <v/>
      </c>
    </row>
    <row r="746" spans="7:11" x14ac:dyDescent="0.25">
      <c r="G746" s="12" t="str">
        <f t="shared" si="33"/>
        <v/>
      </c>
      <c r="I746" s="12" t="str">
        <f t="shared" si="34"/>
        <v/>
      </c>
      <c r="J746" s="12" t="str">
        <f t="shared" si="35"/>
        <v/>
      </c>
      <c r="K746" s="12" t="str">
        <f>IFERROR((E746 - VLOOKUP(C746, 'Stock Entry'!B:E, 4, FALSE)) * D746, "")</f>
        <v/>
      </c>
    </row>
    <row r="747" spans="7:11" x14ac:dyDescent="0.25">
      <c r="G747" s="12" t="str">
        <f t="shared" si="33"/>
        <v/>
      </c>
      <c r="I747" s="12" t="str">
        <f t="shared" si="34"/>
        <v/>
      </c>
      <c r="J747" s="12" t="str">
        <f t="shared" si="35"/>
        <v/>
      </c>
      <c r="K747" s="12" t="str">
        <f>IFERROR((E747 - VLOOKUP(C747, 'Stock Entry'!B:E, 4, FALSE)) * D747, "")</f>
        <v/>
      </c>
    </row>
    <row r="748" spans="7:11" x14ac:dyDescent="0.25">
      <c r="G748" s="12" t="str">
        <f t="shared" si="33"/>
        <v/>
      </c>
      <c r="I748" s="12" t="str">
        <f t="shared" si="34"/>
        <v/>
      </c>
      <c r="J748" s="12" t="str">
        <f t="shared" si="35"/>
        <v/>
      </c>
      <c r="K748" s="12" t="str">
        <f>IFERROR((E748 - VLOOKUP(C748, 'Stock Entry'!B:E, 4, FALSE)) * D748, "")</f>
        <v/>
      </c>
    </row>
    <row r="749" spans="7:11" x14ac:dyDescent="0.25">
      <c r="G749" s="12" t="str">
        <f t="shared" si="33"/>
        <v/>
      </c>
      <c r="I749" s="12" t="str">
        <f t="shared" si="34"/>
        <v/>
      </c>
      <c r="J749" s="12" t="str">
        <f t="shared" si="35"/>
        <v/>
      </c>
      <c r="K749" s="12" t="str">
        <f>IFERROR((E749 - VLOOKUP(C749, 'Stock Entry'!B:E, 4, FALSE)) * D749, "")</f>
        <v/>
      </c>
    </row>
    <row r="750" spans="7:11" x14ac:dyDescent="0.25">
      <c r="G750" s="12" t="str">
        <f t="shared" si="33"/>
        <v/>
      </c>
      <c r="I750" s="12" t="str">
        <f t="shared" si="34"/>
        <v/>
      </c>
      <c r="J750" s="12" t="str">
        <f t="shared" si="35"/>
        <v/>
      </c>
      <c r="K750" s="12" t="str">
        <f>IFERROR((E750 - VLOOKUP(C750, 'Stock Entry'!B:E, 4, FALSE)) * D750, "")</f>
        <v/>
      </c>
    </row>
    <row r="751" spans="7:11" x14ac:dyDescent="0.25">
      <c r="G751" s="12" t="str">
        <f t="shared" si="33"/>
        <v/>
      </c>
      <c r="I751" s="12" t="str">
        <f t="shared" si="34"/>
        <v/>
      </c>
      <c r="J751" s="12" t="str">
        <f t="shared" si="35"/>
        <v/>
      </c>
      <c r="K751" s="12" t="str">
        <f>IFERROR((E751 - VLOOKUP(C751, 'Stock Entry'!B:E, 4, FALSE)) * D751, "")</f>
        <v/>
      </c>
    </row>
    <row r="752" spans="7:11" x14ac:dyDescent="0.25">
      <c r="G752" s="12" t="str">
        <f t="shared" si="33"/>
        <v/>
      </c>
      <c r="I752" s="12" t="str">
        <f t="shared" si="34"/>
        <v/>
      </c>
      <c r="J752" s="12" t="str">
        <f t="shared" si="35"/>
        <v/>
      </c>
      <c r="K752" s="12" t="str">
        <f>IFERROR((E752 - VLOOKUP(C752, 'Stock Entry'!B:E, 4, FALSE)) * D752, "")</f>
        <v/>
      </c>
    </row>
    <row r="753" spans="7:11" x14ac:dyDescent="0.25">
      <c r="G753" s="12" t="str">
        <f t="shared" si="33"/>
        <v/>
      </c>
      <c r="I753" s="12" t="str">
        <f t="shared" si="34"/>
        <v/>
      </c>
      <c r="J753" s="12" t="str">
        <f t="shared" si="35"/>
        <v/>
      </c>
      <c r="K753" s="12" t="str">
        <f>IFERROR((E753 - VLOOKUP(C753, 'Stock Entry'!B:E, 4, FALSE)) * D753, "")</f>
        <v/>
      </c>
    </row>
    <row r="754" spans="7:11" x14ac:dyDescent="0.25">
      <c r="G754" s="12" t="str">
        <f t="shared" si="33"/>
        <v/>
      </c>
      <c r="I754" s="12" t="str">
        <f t="shared" si="34"/>
        <v/>
      </c>
      <c r="J754" s="12" t="str">
        <f t="shared" si="35"/>
        <v/>
      </c>
      <c r="K754" s="12" t="str">
        <f>IFERROR((E754 - VLOOKUP(C754, 'Stock Entry'!B:E, 4, FALSE)) * D754, "")</f>
        <v/>
      </c>
    </row>
    <row r="755" spans="7:11" x14ac:dyDescent="0.25">
      <c r="G755" s="12" t="str">
        <f t="shared" si="33"/>
        <v/>
      </c>
      <c r="I755" s="12" t="str">
        <f t="shared" si="34"/>
        <v/>
      </c>
      <c r="J755" s="12" t="str">
        <f t="shared" si="35"/>
        <v/>
      </c>
      <c r="K755" s="12" t="str">
        <f>IFERROR((E755 - VLOOKUP(C755, 'Stock Entry'!B:E, 4, FALSE)) * D755, "")</f>
        <v/>
      </c>
    </row>
    <row r="756" spans="7:11" x14ac:dyDescent="0.25">
      <c r="G756" s="12" t="str">
        <f t="shared" si="33"/>
        <v/>
      </c>
      <c r="I756" s="12" t="str">
        <f t="shared" si="34"/>
        <v/>
      </c>
      <c r="J756" s="12" t="str">
        <f t="shared" si="35"/>
        <v/>
      </c>
      <c r="K756" s="12" t="str">
        <f>IFERROR((E756 - VLOOKUP(C756, 'Stock Entry'!B:E, 4, FALSE)) * D756, "")</f>
        <v/>
      </c>
    </row>
    <row r="757" spans="7:11" x14ac:dyDescent="0.25">
      <c r="G757" s="12" t="str">
        <f t="shared" si="33"/>
        <v/>
      </c>
      <c r="I757" s="12" t="str">
        <f t="shared" si="34"/>
        <v/>
      </c>
      <c r="J757" s="12" t="str">
        <f t="shared" si="35"/>
        <v/>
      </c>
      <c r="K757" s="12" t="str">
        <f>IFERROR((E757 - VLOOKUP(C757, 'Stock Entry'!B:E, 4, FALSE)) * D757, "")</f>
        <v/>
      </c>
    </row>
    <row r="758" spans="7:11" x14ac:dyDescent="0.25">
      <c r="G758" s="12" t="str">
        <f t="shared" si="33"/>
        <v/>
      </c>
      <c r="I758" s="12" t="str">
        <f t="shared" si="34"/>
        <v/>
      </c>
      <c r="J758" s="12" t="str">
        <f t="shared" si="35"/>
        <v/>
      </c>
      <c r="K758" s="12" t="str">
        <f>IFERROR((E758 - VLOOKUP(C758, 'Stock Entry'!B:E, 4, FALSE)) * D758, "")</f>
        <v/>
      </c>
    </row>
    <row r="759" spans="7:11" x14ac:dyDescent="0.25">
      <c r="G759" s="12" t="str">
        <f t="shared" si="33"/>
        <v/>
      </c>
      <c r="I759" s="12" t="str">
        <f t="shared" si="34"/>
        <v/>
      </c>
      <c r="J759" s="12" t="str">
        <f t="shared" si="35"/>
        <v/>
      </c>
      <c r="K759" s="12" t="str">
        <f>IFERROR((E759 - VLOOKUP(C759, 'Stock Entry'!B:E, 4, FALSE)) * D759, "")</f>
        <v/>
      </c>
    </row>
    <row r="760" spans="7:11" x14ac:dyDescent="0.25">
      <c r="G760" s="12" t="str">
        <f t="shared" si="33"/>
        <v/>
      </c>
      <c r="I760" s="12" t="str">
        <f t="shared" si="34"/>
        <v/>
      </c>
      <c r="J760" s="12" t="str">
        <f t="shared" si="35"/>
        <v/>
      </c>
      <c r="K760" s="12" t="str">
        <f>IFERROR((E760 - VLOOKUP(C760, 'Stock Entry'!B:E, 4, FALSE)) * D760, "")</f>
        <v/>
      </c>
    </row>
    <row r="761" spans="7:11" x14ac:dyDescent="0.25">
      <c r="G761" s="12" t="str">
        <f t="shared" si="33"/>
        <v/>
      </c>
      <c r="I761" s="12" t="str">
        <f t="shared" si="34"/>
        <v/>
      </c>
      <c r="J761" s="12" t="str">
        <f t="shared" si="35"/>
        <v/>
      </c>
      <c r="K761" s="12" t="str">
        <f>IFERROR((E761 - VLOOKUP(C761, 'Stock Entry'!B:E, 4, FALSE)) * D761, "")</f>
        <v/>
      </c>
    </row>
    <row r="762" spans="7:11" x14ac:dyDescent="0.25">
      <c r="G762" s="12" t="str">
        <f t="shared" si="33"/>
        <v/>
      </c>
      <c r="I762" s="12" t="str">
        <f t="shared" si="34"/>
        <v/>
      </c>
      <c r="J762" s="12" t="str">
        <f t="shared" si="35"/>
        <v/>
      </c>
      <c r="K762" s="12" t="str">
        <f>IFERROR((E762 - VLOOKUP(C762, 'Stock Entry'!B:E, 4, FALSE)) * D762, "")</f>
        <v/>
      </c>
    </row>
    <row r="763" spans="7:11" x14ac:dyDescent="0.25">
      <c r="G763" s="12" t="str">
        <f t="shared" si="33"/>
        <v/>
      </c>
      <c r="I763" s="12" t="str">
        <f t="shared" si="34"/>
        <v/>
      </c>
      <c r="J763" s="12" t="str">
        <f t="shared" si="35"/>
        <v/>
      </c>
      <c r="K763" s="12" t="str">
        <f>IFERROR((E763 - VLOOKUP(C763, 'Stock Entry'!B:E, 4, FALSE)) * D763, "")</f>
        <v/>
      </c>
    </row>
    <row r="764" spans="7:11" x14ac:dyDescent="0.25">
      <c r="G764" s="12" t="str">
        <f t="shared" si="33"/>
        <v/>
      </c>
      <c r="I764" s="12" t="str">
        <f t="shared" si="34"/>
        <v/>
      </c>
      <c r="J764" s="12" t="str">
        <f t="shared" si="35"/>
        <v/>
      </c>
      <c r="K764" s="12" t="str">
        <f>IFERROR((E764 - VLOOKUP(C764, 'Stock Entry'!B:E, 4, FALSE)) * D764, "")</f>
        <v/>
      </c>
    </row>
    <row r="765" spans="7:11" x14ac:dyDescent="0.25">
      <c r="G765" s="12" t="str">
        <f t="shared" si="33"/>
        <v/>
      </c>
      <c r="I765" s="12" t="str">
        <f t="shared" si="34"/>
        <v/>
      </c>
      <c r="J765" s="12" t="str">
        <f t="shared" si="35"/>
        <v/>
      </c>
      <c r="K765" s="12" t="str">
        <f>IFERROR((E765 - VLOOKUP(C765, 'Stock Entry'!B:E, 4, FALSE)) * D765, "")</f>
        <v/>
      </c>
    </row>
    <row r="766" spans="7:11" x14ac:dyDescent="0.25">
      <c r="G766" s="12" t="str">
        <f t="shared" si="33"/>
        <v/>
      </c>
      <c r="I766" s="12" t="str">
        <f t="shared" si="34"/>
        <v/>
      </c>
      <c r="J766" s="12" t="str">
        <f t="shared" si="35"/>
        <v/>
      </c>
      <c r="K766" s="12" t="str">
        <f>IFERROR((E766 - VLOOKUP(C766, 'Stock Entry'!B:E, 4, FALSE)) * D766, "")</f>
        <v/>
      </c>
    </row>
    <row r="767" spans="7:11" x14ac:dyDescent="0.25">
      <c r="G767" s="12" t="str">
        <f t="shared" si="33"/>
        <v/>
      </c>
      <c r="I767" s="12" t="str">
        <f t="shared" si="34"/>
        <v/>
      </c>
      <c r="J767" s="12" t="str">
        <f t="shared" si="35"/>
        <v/>
      </c>
      <c r="K767" s="12" t="str">
        <f>IFERROR((E767 - VLOOKUP(C767, 'Stock Entry'!B:E, 4, FALSE)) * D767, "")</f>
        <v/>
      </c>
    </row>
    <row r="768" spans="7:11" x14ac:dyDescent="0.25">
      <c r="G768" s="12" t="str">
        <f t="shared" si="33"/>
        <v/>
      </c>
      <c r="I768" s="12" t="str">
        <f t="shared" si="34"/>
        <v/>
      </c>
      <c r="J768" s="12" t="str">
        <f t="shared" si="35"/>
        <v/>
      </c>
      <c r="K768" s="12" t="str">
        <f>IFERROR((E768 - VLOOKUP(C768, 'Stock Entry'!B:E, 4, FALSE)) * D768, "")</f>
        <v/>
      </c>
    </row>
    <row r="769" spans="7:11" x14ac:dyDescent="0.25">
      <c r="G769" s="12" t="str">
        <f t="shared" si="33"/>
        <v/>
      </c>
      <c r="I769" s="12" t="str">
        <f t="shared" si="34"/>
        <v/>
      </c>
      <c r="J769" s="12" t="str">
        <f t="shared" si="35"/>
        <v/>
      </c>
      <c r="K769" s="12" t="str">
        <f>IFERROR((E769 - VLOOKUP(C769, 'Stock Entry'!B:E, 4, FALSE)) * D769, "")</f>
        <v/>
      </c>
    </row>
    <row r="770" spans="7:11" x14ac:dyDescent="0.25">
      <c r="G770" s="12" t="str">
        <f t="shared" si="33"/>
        <v/>
      </c>
      <c r="I770" s="12" t="str">
        <f t="shared" si="34"/>
        <v/>
      </c>
      <c r="J770" s="12" t="str">
        <f t="shared" si="35"/>
        <v/>
      </c>
      <c r="K770" s="12" t="str">
        <f>IFERROR((E770 - VLOOKUP(C770, 'Stock Entry'!B:E, 4, FALSE)) * D770, "")</f>
        <v/>
      </c>
    </row>
    <row r="771" spans="7:11" x14ac:dyDescent="0.25">
      <c r="G771" s="12" t="str">
        <f t="shared" ref="G771:G834" si="36">IF(F771="Full Cash", D771*E771, "")</f>
        <v/>
      </c>
      <c r="I771" s="12" t="str">
        <f t="shared" ref="I771:I834" si="37">IF(F771="Full Credit",D771*E771,IF(F771="Partly Payment",(D771*E771)-H771,""))</f>
        <v/>
      </c>
      <c r="J771" s="12" t="str">
        <f t="shared" ref="J771:J834" si="38">IF(F771="Full Cash", G771, IF(F771="Full Credit", I771, IF(F771="Partly Payment", H771+I771, "")))</f>
        <v/>
      </c>
      <c r="K771" s="12" t="str">
        <f>IFERROR((E771 - VLOOKUP(C771, 'Stock Entry'!B:E, 4, FALSE)) * D771, "")</f>
        <v/>
      </c>
    </row>
    <row r="772" spans="7:11" x14ac:dyDescent="0.25">
      <c r="G772" s="12" t="str">
        <f t="shared" si="36"/>
        <v/>
      </c>
      <c r="I772" s="12" t="str">
        <f t="shared" si="37"/>
        <v/>
      </c>
      <c r="J772" s="12" t="str">
        <f t="shared" si="38"/>
        <v/>
      </c>
      <c r="K772" s="12" t="str">
        <f>IFERROR((E772 - VLOOKUP(C772, 'Stock Entry'!B:E, 4, FALSE)) * D772, "")</f>
        <v/>
      </c>
    </row>
    <row r="773" spans="7:11" x14ac:dyDescent="0.25">
      <c r="G773" s="12" t="str">
        <f t="shared" si="36"/>
        <v/>
      </c>
      <c r="I773" s="12" t="str">
        <f t="shared" si="37"/>
        <v/>
      </c>
      <c r="J773" s="12" t="str">
        <f t="shared" si="38"/>
        <v/>
      </c>
      <c r="K773" s="12" t="str">
        <f>IFERROR((E773 - VLOOKUP(C773, 'Stock Entry'!B:E, 4, FALSE)) * D773, "")</f>
        <v/>
      </c>
    </row>
    <row r="774" spans="7:11" x14ac:dyDescent="0.25">
      <c r="G774" s="12" t="str">
        <f t="shared" si="36"/>
        <v/>
      </c>
      <c r="I774" s="12" t="str">
        <f t="shared" si="37"/>
        <v/>
      </c>
      <c r="J774" s="12" t="str">
        <f t="shared" si="38"/>
        <v/>
      </c>
      <c r="K774" s="12" t="str">
        <f>IFERROR((E774 - VLOOKUP(C774, 'Stock Entry'!B:E, 4, FALSE)) * D774, "")</f>
        <v/>
      </c>
    </row>
    <row r="775" spans="7:11" x14ac:dyDescent="0.25">
      <c r="G775" s="12" t="str">
        <f t="shared" si="36"/>
        <v/>
      </c>
      <c r="I775" s="12" t="str">
        <f t="shared" si="37"/>
        <v/>
      </c>
      <c r="J775" s="12" t="str">
        <f t="shared" si="38"/>
        <v/>
      </c>
      <c r="K775" s="12" t="str">
        <f>IFERROR((E775 - VLOOKUP(C775, 'Stock Entry'!B:E, 4, FALSE)) * D775, "")</f>
        <v/>
      </c>
    </row>
    <row r="776" spans="7:11" x14ac:dyDescent="0.25">
      <c r="G776" s="12" t="str">
        <f t="shared" si="36"/>
        <v/>
      </c>
      <c r="I776" s="12" t="str">
        <f t="shared" si="37"/>
        <v/>
      </c>
      <c r="J776" s="12" t="str">
        <f t="shared" si="38"/>
        <v/>
      </c>
      <c r="K776" s="12" t="str">
        <f>IFERROR((E776 - VLOOKUP(C776, 'Stock Entry'!B:E, 4, FALSE)) * D776, "")</f>
        <v/>
      </c>
    </row>
    <row r="777" spans="7:11" x14ac:dyDescent="0.25">
      <c r="G777" s="12" t="str">
        <f t="shared" si="36"/>
        <v/>
      </c>
      <c r="I777" s="12" t="str">
        <f t="shared" si="37"/>
        <v/>
      </c>
      <c r="J777" s="12" t="str">
        <f t="shared" si="38"/>
        <v/>
      </c>
      <c r="K777" s="12" t="str">
        <f>IFERROR((E777 - VLOOKUP(C777, 'Stock Entry'!B:E, 4, FALSE)) * D777, "")</f>
        <v/>
      </c>
    </row>
    <row r="778" spans="7:11" x14ac:dyDescent="0.25">
      <c r="G778" s="12" t="str">
        <f t="shared" si="36"/>
        <v/>
      </c>
      <c r="I778" s="12" t="str">
        <f t="shared" si="37"/>
        <v/>
      </c>
      <c r="J778" s="12" t="str">
        <f t="shared" si="38"/>
        <v/>
      </c>
      <c r="K778" s="12" t="str">
        <f>IFERROR((E778 - VLOOKUP(C778, 'Stock Entry'!B:E, 4, FALSE)) * D778, "")</f>
        <v/>
      </c>
    </row>
    <row r="779" spans="7:11" x14ac:dyDescent="0.25">
      <c r="G779" s="12" t="str">
        <f t="shared" si="36"/>
        <v/>
      </c>
      <c r="I779" s="12" t="str">
        <f t="shared" si="37"/>
        <v/>
      </c>
      <c r="J779" s="12" t="str">
        <f t="shared" si="38"/>
        <v/>
      </c>
      <c r="K779" s="12" t="str">
        <f>IFERROR((E779 - VLOOKUP(C779, 'Stock Entry'!B:E, 4, FALSE)) * D779, "")</f>
        <v/>
      </c>
    </row>
    <row r="780" spans="7:11" x14ac:dyDescent="0.25">
      <c r="G780" s="12" t="str">
        <f t="shared" si="36"/>
        <v/>
      </c>
      <c r="I780" s="12" t="str">
        <f t="shared" si="37"/>
        <v/>
      </c>
      <c r="J780" s="12" t="str">
        <f t="shared" si="38"/>
        <v/>
      </c>
      <c r="K780" s="12" t="str">
        <f>IFERROR((E780 - VLOOKUP(C780, 'Stock Entry'!B:E, 4, FALSE)) * D780, "")</f>
        <v/>
      </c>
    </row>
    <row r="781" spans="7:11" x14ac:dyDescent="0.25">
      <c r="G781" s="12" t="str">
        <f t="shared" si="36"/>
        <v/>
      </c>
      <c r="I781" s="12" t="str">
        <f t="shared" si="37"/>
        <v/>
      </c>
      <c r="J781" s="12" t="str">
        <f t="shared" si="38"/>
        <v/>
      </c>
      <c r="K781" s="12" t="str">
        <f>IFERROR((E781 - VLOOKUP(C781, 'Stock Entry'!B:E, 4, FALSE)) * D781, "")</f>
        <v/>
      </c>
    </row>
    <row r="782" spans="7:11" x14ac:dyDescent="0.25">
      <c r="G782" s="12" t="str">
        <f t="shared" si="36"/>
        <v/>
      </c>
      <c r="I782" s="12" t="str">
        <f t="shared" si="37"/>
        <v/>
      </c>
      <c r="J782" s="12" t="str">
        <f t="shared" si="38"/>
        <v/>
      </c>
      <c r="K782" s="12" t="str">
        <f>IFERROR((E782 - VLOOKUP(C782, 'Stock Entry'!B:E, 4, FALSE)) * D782, "")</f>
        <v/>
      </c>
    </row>
    <row r="783" spans="7:11" x14ac:dyDescent="0.25">
      <c r="G783" s="12" t="str">
        <f t="shared" si="36"/>
        <v/>
      </c>
      <c r="I783" s="12" t="str">
        <f t="shared" si="37"/>
        <v/>
      </c>
      <c r="J783" s="12" t="str">
        <f t="shared" si="38"/>
        <v/>
      </c>
      <c r="K783" s="12" t="str">
        <f>IFERROR((E783 - VLOOKUP(C783, 'Stock Entry'!B:E, 4, FALSE)) * D783, "")</f>
        <v/>
      </c>
    </row>
    <row r="784" spans="7:11" x14ac:dyDescent="0.25">
      <c r="G784" s="12" t="str">
        <f t="shared" si="36"/>
        <v/>
      </c>
      <c r="I784" s="12" t="str">
        <f t="shared" si="37"/>
        <v/>
      </c>
      <c r="J784" s="12" t="str">
        <f t="shared" si="38"/>
        <v/>
      </c>
      <c r="K784" s="12" t="str">
        <f>IFERROR((E784 - VLOOKUP(C784, 'Stock Entry'!B:E, 4, FALSE)) * D784, "")</f>
        <v/>
      </c>
    </row>
    <row r="785" spans="7:11" x14ac:dyDescent="0.25">
      <c r="G785" s="12" t="str">
        <f t="shared" si="36"/>
        <v/>
      </c>
      <c r="I785" s="12" t="str">
        <f t="shared" si="37"/>
        <v/>
      </c>
      <c r="J785" s="12" t="str">
        <f t="shared" si="38"/>
        <v/>
      </c>
      <c r="K785" s="12" t="str">
        <f>IFERROR((E785 - VLOOKUP(C785, 'Stock Entry'!B:E, 4, FALSE)) * D785, "")</f>
        <v/>
      </c>
    </row>
    <row r="786" spans="7:11" x14ac:dyDescent="0.25">
      <c r="G786" s="12" t="str">
        <f t="shared" si="36"/>
        <v/>
      </c>
      <c r="I786" s="12" t="str">
        <f t="shared" si="37"/>
        <v/>
      </c>
      <c r="J786" s="12" t="str">
        <f t="shared" si="38"/>
        <v/>
      </c>
      <c r="K786" s="12" t="str">
        <f>IFERROR((E786 - VLOOKUP(C786, 'Stock Entry'!B:E, 4, FALSE)) * D786, "")</f>
        <v/>
      </c>
    </row>
    <row r="787" spans="7:11" x14ac:dyDescent="0.25">
      <c r="G787" s="12" t="str">
        <f t="shared" si="36"/>
        <v/>
      </c>
      <c r="I787" s="12" t="str">
        <f t="shared" si="37"/>
        <v/>
      </c>
      <c r="J787" s="12" t="str">
        <f t="shared" si="38"/>
        <v/>
      </c>
      <c r="K787" s="12" t="str">
        <f>IFERROR((E787 - VLOOKUP(C787, 'Stock Entry'!B:E, 4, FALSE)) * D787, "")</f>
        <v/>
      </c>
    </row>
    <row r="788" spans="7:11" x14ac:dyDescent="0.25">
      <c r="G788" s="12" t="str">
        <f t="shared" si="36"/>
        <v/>
      </c>
      <c r="I788" s="12" t="str">
        <f t="shared" si="37"/>
        <v/>
      </c>
      <c r="J788" s="12" t="str">
        <f t="shared" si="38"/>
        <v/>
      </c>
      <c r="K788" s="12" t="str">
        <f>IFERROR((E788 - VLOOKUP(C788, 'Stock Entry'!B:E, 4, FALSE)) * D788, "")</f>
        <v/>
      </c>
    </row>
    <row r="789" spans="7:11" x14ac:dyDescent="0.25">
      <c r="G789" s="12" t="str">
        <f t="shared" si="36"/>
        <v/>
      </c>
      <c r="I789" s="12" t="str">
        <f t="shared" si="37"/>
        <v/>
      </c>
      <c r="J789" s="12" t="str">
        <f t="shared" si="38"/>
        <v/>
      </c>
      <c r="K789" s="12" t="str">
        <f>IFERROR((E789 - VLOOKUP(C789, 'Stock Entry'!B:E, 4, FALSE)) * D789, "")</f>
        <v/>
      </c>
    </row>
    <row r="790" spans="7:11" x14ac:dyDescent="0.25">
      <c r="G790" s="12" t="str">
        <f t="shared" si="36"/>
        <v/>
      </c>
      <c r="I790" s="12" t="str">
        <f t="shared" si="37"/>
        <v/>
      </c>
      <c r="J790" s="12" t="str">
        <f t="shared" si="38"/>
        <v/>
      </c>
      <c r="K790" s="12" t="str">
        <f>IFERROR((E790 - VLOOKUP(C790, 'Stock Entry'!B:E, 4, FALSE)) * D790, "")</f>
        <v/>
      </c>
    </row>
    <row r="791" spans="7:11" x14ac:dyDescent="0.25">
      <c r="G791" s="12" t="str">
        <f t="shared" si="36"/>
        <v/>
      </c>
      <c r="I791" s="12" t="str">
        <f t="shared" si="37"/>
        <v/>
      </c>
      <c r="J791" s="12" t="str">
        <f t="shared" si="38"/>
        <v/>
      </c>
      <c r="K791" s="12" t="str">
        <f>IFERROR((E791 - VLOOKUP(C791, 'Stock Entry'!B:E, 4, FALSE)) * D791, "")</f>
        <v/>
      </c>
    </row>
    <row r="792" spans="7:11" x14ac:dyDescent="0.25">
      <c r="G792" s="12" t="str">
        <f t="shared" si="36"/>
        <v/>
      </c>
      <c r="I792" s="12" t="str">
        <f t="shared" si="37"/>
        <v/>
      </c>
      <c r="J792" s="12" t="str">
        <f t="shared" si="38"/>
        <v/>
      </c>
      <c r="K792" s="12" t="str">
        <f>IFERROR((E792 - VLOOKUP(C792, 'Stock Entry'!B:E, 4, FALSE)) * D792, "")</f>
        <v/>
      </c>
    </row>
    <row r="793" spans="7:11" x14ac:dyDescent="0.25">
      <c r="G793" s="12" t="str">
        <f t="shared" si="36"/>
        <v/>
      </c>
      <c r="I793" s="12" t="str">
        <f t="shared" si="37"/>
        <v/>
      </c>
      <c r="J793" s="12" t="str">
        <f t="shared" si="38"/>
        <v/>
      </c>
      <c r="K793" s="12" t="str">
        <f>IFERROR((E793 - VLOOKUP(C793, 'Stock Entry'!B:E, 4, FALSE)) * D793, "")</f>
        <v/>
      </c>
    </row>
    <row r="794" spans="7:11" x14ac:dyDescent="0.25">
      <c r="G794" s="12" t="str">
        <f t="shared" si="36"/>
        <v/>
      </c>
      <c r="I794" s="12" t="str">
        <f t="shared" si="37"/>
        <v/>
      </c>
      <c r="J794" s="12" t="str">
        <f t="shared" si="38"/>
        <v/>
      </c>
      <c r="K794" s="12" t="str">
        <f>IFERROR((E794 - VLOOKUP(C794, 'Stock Entry'!B:E, 4, FALSE)) * D794, "")</f>
        <v/>
      </c>
    </row>
    <row r="795" spans="7:11" x14ac:dyDescent="0.25">
      <c r="G795" s="12" t="str">
        <f t="shared" si="36"/>
        <v/>
      </c>
      <c r="I795" s="12" t="str">
        <f t="shared" si="37"/>
        <v/>
      </c>
      <c r="J795" s="12" t="str">
        <f t="shared" si="38"/>
        <v/>
      </c>
      <c r="K795" s="12" t="str">
        <f>IFERROR((E795 - VLOOKUP(C795, 'Stock Entry'!B:E, 4, FALSE)) * D795, "")</f>
        <v/>
      </c>
    </row>
    <row r="796" spans="7:11" x14ac:dyDescent="0.25">
      <c r="G796" s="12" t="str">
        <f t="shared" si="36"/>
        <v/>
      </c>
      <c r="I796" s="12" t="str">
        <f t="shared" si="37"/>
        <v/>
      </c>
      <c r="J796" s="12" t="str">
        <f t="shared" si="38"/>
        <v/>
      </c>
      <c r="K796" s="12" t="str">
        <f>IFERROR((E796 - VLOOKUP(C796, 'Stock Entry'!B:E, 4, FALSE)) * D796, "")</f>
        <v/>
      </c>
    </row>
    <row r="797" spans="7:11" x14ac:dyDescent="0.25">
      <c r="G797" s="12" t="str">
        <f t="shared" si="36"/>
        <v/>
      </c>
      <c r="I797" s="12" t="str">
        <f t="shared" si="37"/>
        <v/>
      </c>
      <c r="J797" s="12" t="str">
        <f t="shared" si="38"/>
        <v/>
      </c>
      <c r="K797" s="12" t="str">
        <f>IFERROR((E797 - VLOOKUP(C797, 'Stock Entry'!B:E, 4, FALSE)) * D797, "")</f>
        <v/>
      </c>
    </row>
    <row r="798" spans="7:11" x14ac:dyDescent="0.25">
      <c r="G798" s="12" t="str">
        <f t="shared" si="36"/>
        <v/>
      </c>
      <c r="I798" s="12" t="str">
        <f t="shared" si="37"/>
        <v/>
      </c>
      <c r="J798" s="12" t="str">
        <f t="shared" si="38"/>
        <v/>
      </c>
      <c r="K798" s="12" t="str">
        <f>IFERROR((E798 - VLOOKUP(C798, 'Stock Entry'!B:E, 4, FALSE)) * D798, "")</f>
        <v/>
      </c>
    </row>
    <row r="799" spans="7:11" x14ac:dyDescent="0.25">
      <c r="G799" s="12" t="str">
        <f t="shared" si="36"/>
        <v/>
      </c>
      <c r="I799" s="12" t="str">
        <f t="shared" si="37"/>
        <v/>
      </c>
      <c r="J799" s="12" t="str">
        <f t="shared" si="38"/>
        <v/>
      </c>
      <c r="K799" s="12" t="str">
        <f>IFERROR((E799 - VLOOKUP(C799, 'Stock Entry'!B:E, 4, FALSE)) * D799, "")</f>
        <v/>
      </c>
    </row>
    <row r="800" spans="7:11" x14ac:dyDescent="0.25">
      <c r="G800" s="12" t="str">
        <f t="shared" si="36"/>
        <v/>
      </c>
      <c r="I800" s="12" t="str">
        <f t="shared" si="37"/>
        <v/>
      </c>
      <c r="J800" s="12" t="str">
        <f t="shared" si="38"/>
        <v/>
      </c>
      <c r="K800" s="12" t="str">
        <f>IFERROR((E800 - VLOOKUP(C800, 'Stock Entry'!B:E, 4, FALSE)) * D800, "")</f>
        <v/>
      </c>
    </row>
    <row r="801" spans="7:11" x14ac:dyDescent="0.25">
      <c r="G801" s="12" t="str">
        <f t="shared" si="36"/>
        <v/>
      </c>
      <c r="I801" s="12" t="str">
        <f t="shared" si="37"/>
        <v/>
      </c>
      <c r="J801" s="12" t="str">
        <f t="shared" si="38"/>
        <v/>
      </c>
      <c r="K801" s="12" t="str">
        <f>IFERROR((E801 - VLOOKUP(C801, 'Stock Entry'!B:E, 4, FALSE)) * D801, "")</f>
        <v/>
      </c>
    </row>
    <row r="802" spans="7:11" x14ac:dyDescent="0.25">
      <c r="G802" s="12" t="str">
        <f t="shared" si="36"/>
        <v/>
      </c>
      <c r="I802" s="12" t="str">
        <f t="shared" si="37"/>
        <v/>
      </c>
      <c r="J802" s="12" t="str">
        <f t="shared" si="38"/>
        <v/>
      </c>
      <c r="K802" s="12" t="str">
        <f>IFERROR((E802 - VLOOKUP(C802, 'Stock Entry'!B:E, 4, FALSE)) * D802, "")</f>
        <v/>
      </c>
    </row>
    <row r="803" spans="7:11" x14ac:dyDescent="0.25">
      <c r="G803" s="12" t="str">
        <f t="shared" si="36"/>
        <v/>
      </c>
      <c r="I803" s="12" t="str">
        <f t="shared" si="37"/>
        <v/>
      </c>
      <c r="J803" s="12" t="str">
        <f t="shared" si="38"/>
        <v/>
      </c>
      <c r="K803" s="12" t="str">
        <f>IFERROR((E803 - VLOOKUP(C803, 'Stock Entry'!B:E, 4, FALSE)) * D803, "")</f>
        <v/>
      </c>
    </row>
    <row r="804" spans="7:11" x14ac:dyDescent="0.25">
      <c r="G804" s="12" t="str">
        <f t="shared" si="36"/>
        <v/>
      </c>
      <c r="I804" s="12" t="str">
        <f t="shared" si="37"/>
        <v/>
      </c>
      <c r="J804" s="12" t="str">
        <f t="shared" si="38"/>
        <v/>
      </c>
      <c r="K804" s="12" t="str">
        <f>IFERROR((E804 - VLOOKUP(C804, 'Stock Entry'!B:E, 4, FALSE)) * D804, "")</f>
        <v/>
      </c>
    </row>
    <row r="805" spans="7:11" x14ac:dyDescent="0.25">
      <c r="G805" s="12" t="str">
        <f t="shared" si="36"/>
        <v/>
      </c>
      <c r="I805" s="12" t="str">
        <f t="shared" si="37"/>
        <v/>
      </c>
      <c r="J805" s="12" t="str">
        <f t="shared" si="38"/>
        <v/>
      </c>
      <c r="K805" s="12" t="str">
        <f>IFERROR((E805 - VLOOKUP(C805, 'Stock Entry'!B:E, 4, FALSE)) * D805, "")</f>
        <v/>
      </c>
    </row>
    <row r="806" spans="7:11" x14ac:dyDescent="0.25">
      <c r="G806" s="12" t="str">
        <f t="shared" si="36"/>
        <v/>
      </c>
      <c r="I806" s="12" t="str">
        <f t="shared" si="37"/>
        <v/>
      </c>
      <c r="J806" s="12" t="str">
        <f t="shared" si="38"/>
        <v/>
      </c>
      <c r="K806" s="12" t="str">
        <f>IFERROR((E806 - VLOOKUP(C806, 'Stock Entry'!B:E, 4, FALSE)) * D806, "")</f>
        <v/>
      </c>
    </row>
    <row r="807" spans="7:11" x14ac:dyDescent="0.25">
      <c r="G807" s="12" t="str">
        <f t="shared" si="36"/>
        <v/>
      </c>
      <c r="I807" s="12" t="str">
        <f t="shared" si="37"/>
        <v/>
      </c>
      <c r="J807" s="12" t="str">
        <f t="shared" si="38"/>
        <v/>
      </c>
      <c r="K807" s="12" t="str">
        <f>IFERROR((E807 - VLOOKUP(C807, 'Stock Entry'!B:E, 4, FALSE)) * D807, "")</f>
        <v/>
      </c>
    </row>
    <row r="808" spans="7:11" x14ac:dyDescent="0.25">
      <c r="G808" s="12" t="str">
        <f t="shared" si="36"/>
        <v/>
      </c>
      <c r="I808" s="12" t="str">
        <f t="shared" si="37"/>
        <v/>
      </c>
      <c r="J808" s="12" t="str">
        <f t="shared" si="38"/>
        <v/>
      </c>
      <c r="K808" s="12" t="str">
        <f>IFERROR((E808 - VLOOKUP(C808, 'Stock Entry'!B:E, 4, FALSE)) * D808, "")</f>
        <v/>
      </c>
    </row>
    <row r="809" spans="7:11" x14ac:dyDescent="0.25">
      <c r="G809" s="12" t="str">
        <f t="shared" si="36"/>
        <v/>
      </c>
      <c r="I809" s="12" t="str">
        <f t="shared" si="37"/>
        <v/>
      </c>
      <c r="J809" s="12" t="str">
        <f t="shared" si="38"/>
        <v/>
      </c>
      <c r="K809" s="12" t="str">
        <f>IFERROR((E809 - VLOOKUP(C809, 'Stock Entry'!B:E, 4, FALSE)) * D809, "")</f>
        <v/>
      </c>
    </row>
    <row r="810" spans="7:11" x14ac:dyDescent="0.25">
      <c r="G810" s="12" t="str">
        <f t="shared" si="36"/>
        <v/>
      </c>
      <c r="I810" s="12" t="str">
        <f t="shared" si="37"/>
        <v/>
      </c>
      <c r="J810" s="12" t="str">
        <f t="shared" si="38"/>
        <v/>
      </c>
      <c r="K810" s="12" t="str">
        <f>IFERROR((E810 - VLOOKUP(C810, 'Stock Entry'!B:E, 4, FALSE)) * D810, "")</f>
        <v/>
      </c>
    </row>
    <row r="811" spans="7:11" x14ac:dyDescent="0.25">
      <c r="G811" s="12" t="str">
        <f t="shared" si="36"/>
        <v/>
      </c>
      <c r="I811" s="12" t="str">
        <f t="shared" si="37"/>
        <v/>
      </c>
      <c r="J811" s="12" t="str">
        <f t="shared" si="38"/>
        <v/>
      </c>
      <c r="K811" s="12" t="str">
        <f>IFERROR((E811 - VLOOKUP(C811, 'Stock Entry'!B:E, 4, FALSE)) * D811, "")</f>
        <v/>
      </c>
    </row>
    <row r="812" spans="7:11" x14ac:dyDescent="0.25">
      <c r="G812" s="12" t="str">
        <f t="shared" si="36"/>
        <v/>
      </c>
      <c r="I812" s="12" t="str">
        <f t="shared" si="37"/>
        <v/>
      </c>
      <c r="J812" s="12" t="str">
        <f t="shared" si="38"/>
        <v/>
      </c>
      <c r="K812" s="12" t="str">
        <f>IFERROR((E812 - VLOOKUP(C812, 'Stock Entry'!B:E, 4, FALSE)) * D812, "")</f>
        <v/>
      </c>
    </row>
    <row r="813" spans="7:11" x14ac:dyDescent="0.25">
      <c r="G813" s="12" t="str">
        <f t="shared" si="36"/>
        <v/>
      </c>
      <c r="I813" s="12" t="str">
        <f t="shared" si="37"/>
        <v/>
      </c>
      <c r="J813" s="12" t="str">
        <f t="shared" si="38"/>
        <v/>
      </c>
      <c r="K813" s="12" t="str">
        <f>IFERROR((E813 - VLOOKUP(C813, 'Stock Entry'!B:E, 4, FALSE)) * D813, "")</f>
        <v/>
      </c>
    </row>
    <row r="814" spans="7:11" x14ac:dyDescent="0.25">
      <c r="G814" s="12" t="str">
        <f t="shared" si="36"/>
        <v/>
      </c>
      <c r="I814" s="12" t="str">
        <f t="shared" si="37"/>
        <v/>
      </c>
      <c r="J814" s="12" t="str">
        <f t="shared" si="38"/>
        <v/>
      </c>
      <c r="K814" s="12" t="str">
        <f>IFERROR((E814 - VLOOKUP(C814, 'Stock Entry'!B:E, 4, FALSE)) * D814, "")</f>
        <v/>
      </c>
    </row>
    <row r="815" spans="7:11" x14ac:dyDescent="0.25">
      <c r="G815" s="12" t="str">
        <f t="shared" si="36"/>
        <v/>
      </c>
      <c r="I815" s="12" t="str">
        <f t="shared" si="37"/>
        <v/>
      </c>
      <c r="J815" s="12" t="str">
        <f t="shared" si="38"/>
        <v/>
      </c>
      <c r="K815" s="12" t="str">
        <f>IFERROR((E815 - VLOOKUP(C815, 'Stock Entry'!B:E, 4, FALSE)) * D815, "")</f>
        <v/>
      </c>
    </row>
    <row r="816" spans="7:11" x14ac:dyDescent="0.25">
      <c r="G816" s="12" t="str">
        <f t="shared" si="36"/>
        <v/>
      </c>
      <c r="I816" s="12" t="str">
        <f t="shared" si="37"/>
        <v/>
      </c>
      <c r="J816" s="12" t="str">
        <f t="shared" si="38"/>
        <v/>
      </c>
      <c r="K816" s="12" t="str">
        <f>IFERROR((E816 - VLOOKUP(C816, 'Stock Entry'!B:E, 4, FALSE)) * D816, "")</f>
        <v/>
      </c>
    </row>
    <row r="817" spans="7:11" x14ac:dyDescent="0.25">
      <c r="G817" s="12" t="str">
        <f t="shared" si="36"/>
        <v/>
      </c>
      <c r="I817" s="12" t="str">
        <f t="shared" si="37"/>
        <v/>
      </c>
      <c r="J817" s="12" t="str">
        <f t="shared" si="38"/>
        <v/>
      </c>
      <c r="K817" s="12" t="str">
        <f>IFERROR((E817 - VLOOKUP(C817, 'Stock Entry'!B:E, 4, FALSE)) * D817, "")</f>
        <v/>
      </c>
    </row>
    <row r="818" spans="7:11" x14ac:dyDescent="0.25">
      <c r="G818" s="12" t="str">
        <f t="shared" si="36"/>
        <v/>
      </c>
      <c r="I818" s="12" t="str">
        <f t="shared" si="37"/>
        <v/>
      </c>
      <c r="J818" s="12" t="str">
        <f t="shared" si="38"/>
        <v/>
      </c>
      <c r="K818" s="12" t="str">
        <f>IFERROR((E818 - VLOOKUP(C818, 'Stock Entry'!B:E, 4, FALSE)) * D818, "")</f>
        <v/>
      </c>
    </row>
    <row r="819" spans="7:11" x14ac:dyDescent="0.25">
      <c r="G819" s="12" t="str">
        <f t="shared" si="36"/>
        <v/>
      </c>
      <c r="I819" s="12" t="str">
        <f t="shared" si="37"/>
        <v/>
      </c>
      <c r="J819" s="12" t="str">
        <f t="shared" si="38"/>
        <v/>
      </c>
      <c r="K819" s="12" t="str">
        <f>IFERROR((E819 - VLOOKUP(C819, 'Stock Entry'!B:E, 4, FALSE)) * D819, "")</f>
        <v/>
      </c>
    </row>
    <row r="820" spans="7:11" x14ac:dyDescent="0.25">
      <c r="G820" s="12" t="str">
        <f t="shared" si="36"/>
        <v/>
      </c>
      <c r="I820" s="12" t="str">
        <f t="shared" si="37"/>
        <v/>
      </c>
      <c r="J820" s="12" t="str">
        <f t="shared" si="38"/>
        <v/>
      </c>
      <c r="K820" s="12" t="str">
        <f>IFERROR((E820 - VLOOKUP(C820, 'Stock Entry'!B:E, 4, FALSE)) * D820, "")</f>
        <v/>
      </c>
    </row>
    <row r="821" spans="7:11" x14ac:dyDescent="0.25">
      <c r="G821" s="12" t="str">
        <f t="shared" si="36"/>
        <v/>
      </c>
      <c r="I821" s="12" t="str">
        <f t="shared" si="37"/>
        <v/>
      </c>
      <c r="J821" s="12" t="str">
        <f t="shared" si="38"/>
        <v/>
      </c>
      <c r="K821" s="12" t="str">
        <f>IFERROR((E821 - VLOOKUP(C821, 'Stock Entry'!B:E, 4, FALSE)) * D821, "")</f>
        <v/>
      </c>
    </row>
    <row r="822" spans="7:11" x14ac:dyDescent="0.25">
      <c r="G822" s="12" t="str">
        <f t="shared" si="36"/>
        <v/>
      </c>
      <c r="I822" s="12" t="str">
        <f t="shared" si="37"/>
        <v/>
      </c>
      <c r="J822" s="12" t="str">
        <f t="shared" si="38"/>
        <v/>
      </c>
      <c r="K822" s="12" t="str">
        <f>IFERROR((E822 - VLOOKUP(C822, 'Stock Entry'!B:E, 4, FALSE)) * D822, "")</f>
        <v/>
      </c>
    </row>
    <row r="823" spans="7:11" x14ac:dyDescent="0.25">
      <c r="G823" s="12" t="str">
        <f t="shared" si="36"/>
        <v/>
      </c>
      <c r="I823" s="12" t="str">
        <f t="shared" si="37"/>
        <v/>
      </c>
      <c r="J823" s="12" t="str">
        <f t="shared" si="38"/>
        <v/>
      </c>
      <c r="K823" s="12" t="str">
        <f>IFERROR((E823 - VLOOKUP(C823, 'Stock Entry'!B:E, 4, FALSE)) * D823, "")</f>
        <v/>
      </c>
    </row>
    <row r="824" spans="7:11" x14ac:dyDescent="0.25">
      <c r="G824" s="12" t="str">
        <f t="shared" si="36"/>
        <v/>
      </c>
      <c r="I824" s="12" t="str">
        <f t="shared" si="37"/>
        <v/>
      </c>
      <c r="J824" s="12" t="str">
        <f t="shared" si="38"/>
        <v/>
      </c>
      <c r="K824" s="12" t="str">
        <f>IFERROR((E824 - VLOOKUP(C824, 'Stock Entry'!B:E, 4, FALSE)) * D824, "")</f>
        <v/>
      </c>
    </row>
    <row r="825" spans="7:11" x14ac:dyDescent="0.25">
      <c r="G825" s="12" t="str">
        <f t="shared" si="36"/>
        <v/>
      </c>
      <c r="I825" s="12" t="str">
        <f t="shared" si="37"/>
        <v/>
      </c>
      <c r="J825" s="12" t="str">
        <f t="shared" si="38"/>
        <v/>
      </c>
      <c r="K825" s="12" t="str">
        <f>IFERROR((E825 - VLOOKUP(C825, 'Stock Entry'!B:E, 4, FALSE)) * D825, "")</f>
        <v/>
      </c>
    </row>
    <row r="826" spans="7:11" x14ac:dyDescent="0.25">
      <c r="G826" s="12" t="str">
        <f t="shared" si="36"/>
        <v/>
      </c>
      <c r="I826" s="12" t="str">
        <f t="shared" si="37"/>
        <v/>
      </c>
      <c r="J826" s="12" t="str">
        <f t="shared" si="38"/>
        <v/>
      </c>
      <c r="K826" s="12" t="str">
        <f>IFERROR((E826 - VLOOKUP(C826, 'Stock Entry'!B:E, 4, FALSE)) * D826, "")</f>
        <v/>
      </c>
    </row>
    <row r="827" spans="7:11" x14ac:dyDescent="0.25">
      <c r="G827" s="12" t="str">
        <f t="shared" si="36"/>
        <v/>
      </c>
      <c r="I827" s="12" t="str">
        <f t="shared" si="37"/>
        <v/>
      </c>
      <c r="J827" s="12" t="str">
        <f t="shared" si="38"/>
        <v/>
      </c>
      <c r="K827" s="12" t="str">
        <f>IFERROR((E827 - VLOOKUP(C827, 'Stock Entry'!B:E, 4, FALSE)) * D827, "")</f>
        <v/>
      </c>
    </row>
    <row r="828" spans="7:11" x14ac:dyDescent="0.25">
      <c r="G828" s="12" t="str">
        <f t="shared" si="36"/>
        <v/>
      </c>
      <c r="I828" s="12" t="str">
        <f t="shared" si="37"/>
        <v/>
      </c>
      <c r="J828" s="12" t="str">
        <f t="shared" si="38"/>
        <v/>
      </c>
      <c r="K828" s="12" t="str">
        <f>IFERROR((E828 - VLOOKUP(C828, 'Stock Entry'!B:E, 4, FALSE)) * D828, "")</f>
        <v/>
      </c>
    </row>
    <row r="829" spans="7:11" x14ac:dyDescent="0.25">
      <c r="G829" s="12" t="str">
        <f t="shared" si="36"/>
        <v/>
      </c>
      <c r="I829" s="12" t="str">
        <f t="shared" si="37"/>
        <v/>
      </c>
      <c r="J829" s="12" t="str">
        <f t="shared" si="38"/>
        <v/>
      </c>
      <c r="K829" s="12" t="str">
        <f>IFERROR((E829 - VLOOKUP(C829, 'Stock Entry'!B:E, 4, FALSE)) * D829, "")</f>
        <v/>
      </c>
    </row>
    <row r="830" spans="7:11" x14ac:dyDescent="0.25">
      <c r="G830" s="12" t="str">
        <f t="shared" si="36"/>
        <v/>
      </c>
      <c r="I830" s="12" t="str">
        <f t="shared" si="37"/>
        <v/>
      </c>
      <c r="J830" s="12" t="str">
        <f t="shared" si="38"/>
        <v/>
      </c>
      <c r="K830" s="12" t="str">
        <f>IFERROR((E830 - VLOOKUP(C830, 'Stock Entry'!B:E, 4, FALSE)) * D830, "")</f>
        <v/>
      </c>
    </row>
    <row r="831" spans="7:11" x14ac:dyDescent="0.25">
      <c r="G831" s="12" t="str">
        <f t="shared" si="36"/>
        <v/>
      </c>
      <c r="I831" s="12" t="str">
        <f t="shared" si="37"/>
        <v/>
      </c>
      <c r="J831" s="12" t="str">
        <f t="shared" si="38"/>
        <v/>
      </c>
      <c r="K831" s="12" t="str">
        <f>IFERROR((E831 - VLOOKUP(C831, 'Stock Entry'!B:E, 4, FALSE)) * D831, "")</f>
        <v/>
      </c>
    </row>
    <row r="832" spans="7:11" x14ac:dyDescent="0.25">
      <c r="G832" s="12" t="str">
        <f t="shared" si="36"/>
        <v/>
      </c>
      <c r="I832" s="12" t="str">
        <f t="shared" si="37"/>
        <v/>
      </c>
      <c r="J832" s="12" t="str">
        <f t="shared" si="38"/>
        <v/>
      </c>
      <c r="K832" s="12" t="str">
        <f>IFERROR((E832 - VLOOKUP(C832, 'Stock Entry'!B:E, 4, FALSE)) * D832, "")</f>
        <v/>
      </c>
    </row>
    <row r="833" spans="7:11" x14ac:dyDescent="0.25">
      <c r="G833" s="12" t="str">
        <f t="shared" si="36"/>
        <v/>
      </c>
      <c r="I833" s="12" t="str">
        <f t="shared" si="37"/>
        <v/>
      </c>
      <c r="J833" s="12" t="str">
        <f t="shared" si="38"/>
        <v/>
      </c>
      <c r="K833" s="12" t="str">
        <f>IFERROR((E833 - VLOOKUP(C833, 'Stock Entry'!B:E, 4, FALSE)) * D833, "")</f>
        <v/>
      </c>
    </row>
    <row r="834" spans="7:11" x14ac:dyDescent="0.25">
      <c r="G834" s="12" t="str">
        <f t="shared" si="36"/>
        <v/>
      </c>
      <c r="I834" s="12" t="str">
        <f t="shared" si="37"/>
        <v/>
      </c>
      <c r="J834" s="12" t="str">
        <f t="shared" si="38"/>
        <v/>
      </c>
      <c r="K834" s="12" t="str">
        <f>IFERROR((E834 - VLOOKUP(C834, 'Stock Entry'!B:E, 4, FALSE)) * D834, "")</f>
        <v/>
      </c>
    </row>
    <row r="835" spans="7:11" x14ac:dyDescent="0.25">
      <c r="G835" s="12" t="str">
        <f t="shared" ref="G835:G898" si="39">IF(F835="Full Cash", D835*E835, "")</f>
        <v/>
      </c>
      <c r="I835" s="12" t="str">
        <f t="shared" ref="I835:I898" si="40">IF(F835="Full Credit",D835*E835,IF(F835="Partly Payment",(D835*E835)-H835,""))</f>
        <v/>
      </c>
      <c r="J835" s="12" t="str">
        <f t="shared" ref="J835:J898" si="41">IF(F835="Full Cash", G835, IF(F835="Full Credit", I835, IF(F835="Partly Payment", H835+I835, "")))</f>
        <v/>
      </c>
      <c r="K835" s="12" t="str">
        <f>IFERROR((E835 - VLOOKUP(C835, 'Stock Entry'!B:E, 4, FALSE)) * D835, "")</f>
        <v/>
      </c>
    </row>
    <row r="836" spans="7:11" x14ac:dyDescent="0.25">
      <c r="G836" s="12" t="str">
        <f t="shared" si="39"/>
        <v/>
      </c>
      <c r="I836" s="12" t="str">
        <f t="shared" si="40"/>
        <v/>
      </c>
      <c r="J836" s="12" t="str">
        <f t="shared" si="41"/>
        <v/>
      </c>
      <c r="K836" s="12" t="str">
        <f>IFERROR((E836 - VLOOKUP(C836, 'Stock Entry'!B:E, 4, FALSE)) * D836, "")</f>
        <v/>
      </c>
    </row>
    <row r="837" spans="7:11" x14ac:dyDescent="0.25">
      <c r="G837" s="12" t="str">
        <f t="shared" si="39"/>
        <v/>
      </c>
      <c r="I837" s="12" t="str">
        <f t="shared" si="40"/>
        <v/>
      </c>
      <c r="J837" s="12" t="str">
        <f t="shared" si="41"/>
        <v/>
      </c>
      <c r="K837" s="12" t="str">
        <f>IFERROR((E837 - VLOOKUP(C837, 'Stock Entry'!B:E, 4, FALSE)) * D837, "")</f>
        <v/>
      </c>
    </row>
    <row r="838" spans="7:11" x14ac:dyDescent="0.25">
      <c r="G838" s="12" t="str">
        <f t="shared" si="39"/>
        <v/>
      </c>
      <c r="I838" s="12" t="str">
        <f t="shared" si="40"/>
        <v/>
      </c>
      <c r="J838" s="12" t="str">
        <f t="shared" si="41"/>
        <v/>
      </c>
      <c r="K838" s="12" t="str">
        <f>IFERROR((E838 - VLOOKUP(C838, 'Stock Entry'!B:E, 4, FALSE)) * D838, "")</f>
        <v/>
      </c>
    </row>
    <row r="839" spans="7:11" x14ac:dyDescent="0.25">
      <c r="G839" s="12" t="str">
        <f t="shared" si="39"/>
        <v/>
      </c>
      <c r="I839" s="12" t="str">
        <f t="shared" si="40"/>
        <v/>
      </c>
      <c r="J839" s="12" t="str">
        <f t="shared" si="41"/>
        <v/>
      </c>
      <c r="K839" s="12" t="str">
        <f>IFERROR((E839 - VLOOKUP(C839, 'Stock Entry'!B:E, 4, FALSE)) * D839, "")</f>
        <v/>
      </c>
    </row>
    <row r="840" spans="7:11" x14ac:dyDescent="0.25">
      <c r="G840" s="12" t="str">
        <f t="shared" si="39"/>
        <v/>
      </c>
      <c r="I840" s="12" t="str">
        <f t="shared" si="40"/>
        <v/>
      </c>
      <c r="J840" s="12" t="str">
        <f t="shared" si="41"/>
        <v/>
      </c>
      <c r="K840" s="12" t="str">
        <f>IFERROR((E840 - VLOOKUP(C840, 'Stock Entry'!B:E, 4, FALSE)) * D840, "")</f>
        <v/>
      </c>
    </row>
    <row r="841" spans="7:11" x14ac:dyDescent="0.25">
      <c r="G841" s="12" t="str">
        <f t="shared" si="39"/>
        <v/>
      </c>
      <c r="I841" s="12" t="str">
        <f t="shared" si="40"/>
        <v/>
      </c>
      <c r="J841" s="12" t="str">
        <f t="shared" si="41"/>
        <v/>
      </c>
      <c r="K841" s="12" t="str">
        <f>IFERROR((E841 - VLOOKUP(C841, 'Stock Entry'!B:E, 4, FALSE)) * D841, "")</f>
        <v/>
      </c>
    </row>
    <row r="842" spans="7:11" x14ac:dyDescent="0.25">
      <c r="G842" s="12" t="str">
        <f t="shared" si="39"/>
        <v/>
      </c>
      <c r="I842" s="12" t="str">
        <f t="shared" si="40"/>
        <v/>
      </c>
      <c r="J842" s="12" t="str">
        <f t="shared" si="41"/>
        <v/>
      </c>
      <c r="K842" s="12" t="str">
        <f>IFERROR((E842 - VLOOKUP(C842, 'Stock Entry'!B:E, 4, FALSE)) * D842, "")</f>
        <v/>
      </c>
    </row>
    <row r="843" spans="7:11" x14ac:dyDescent="0.25">
      <c r="G843" s="12" t="str">
        <f t="shared" si="39"/>
        <v/>
      </c>
      <c r="I843" s="12" t="str">
        <f t="shared" si="40"/>
        <v/>
      </c>
      <c r="J843" s="12" t="str">
        <f t="shared" si="41"/>
        <v/>
      </c>
      <c r="K843" s="12" t="str">
        <f>IFERROR((E843 - VLOOKUP(C843, 'Stock Entry'!B:E, 4, FALSE)) * D843, "")</f>
        <v/>
      </c>
    </row>
    <row r="844" spans="7:11" x14ac:dyDescent="0.25">
      <c r="G844" s="12" t="str">
        <f t="shared" si="39"/>
        <v/>
      </c>
      <c r="I844" s="12" t="str">
        <f t="shared" si="40"/>
        <v/>
      </c>
      <c r="J844" s="12" t="str">
        <f t="shared" si="41"/>
        <v/>
      </c>
      <c r="K844" s="12" t="str">
        <f>IFERROR((E844 - VLOOKUP(C844, 'Stock Entry'!B:E, 4, FALSE)) * D844, "")</f>
        <v/>
      </c>
    </row>
    <row r="845" spans="7:11" x14ac:dyDescent="0.25">
      <c r="G845" s="12" t="str">
        <f t="shared" si="39"/>
        <v/>
      </c>
      <c r="I845" s="12" t="str">
        <f t="shared" si="40"/>
        <v/>
      </c>
      <c r="J845" s="12" t="str">
        <f t="shared" si="41"/>
        <v/>
      </c>
      <c r="K845" s="12" t="str">
        <f>IFERROR((E845 - VLOOKUP(C845, 'Stock Entry'!B:E, 4, FALSE)) * D845, "")</f>
        <v/>
      </c>
    </row>
    <row r="846" spans="7:11" x14ac:dyDescent="0.25">
      <c r="G846" s="12" t="str">
        <f t="shared" si="39"/>
        <v/>
      </c>
      <c r="I846" s="12" t="str">
        <f t="shared" si="40"/>
        <v/>
      </c>
      <c r="J846" s="12" t="str">
        <f t="shared" si="41"/>
        <v/>
      </c>
      <c r="K846" s="12" t="str">
        <f>IFERROR((E846 - VLOOKUP(C846, 'Stock Entry'!B:E, 4, FALSE)) * D846, "")</f>
        <v/>
      </c>
    </row>
    <row r="847" spans="7:11" x14ac:dyDescent="0.25">
      <c r="G847" s="12" t="str">
        <f t="shared" si="39"/>
        <v/>
      </c>
      <c r="I847" s="12" t="str">
        <f t="shared" si="40"/>
        <v/>
      </c>
      <c r="J847" s="12" t="str">
        <f t="shared" si="41"/>
        <v/>
      </c>
      <c r="K847" s="12" t="str">
        <f>IFERROR((E847 - VLOOKUP(C847, 'Stock Entry'!B:E, 4, FALSE)) * D847, "")</f>
        <v/>
      </c>
    </row>
    <row r="848" spans="7:11" x14ac:dyDescent="0.25">
      <c r="G848" s="12" t="str">
        <f t="shared" si="39"/>
        <v/>
      </c>
      <c r="I848" s="12" t="str">
        <f t="shared" si="40"/>
        <v/>
      </c>
      <c r="J848" s="12" t="str">
        <f t="shared" si="41"/>
        <v/>
      </c>
      <c r="K848" s="12" t="str">
        <f>IFERROR((E848 - VLOOKUP(C848, 'Stock Entry'!B:E, 4, FALSE)) * D848, "")</f>
        <v/>
      </c>
    </row>
    <row r="849" spans="7:11" x14ac:dyDescent="0.25">
      <c r="G849" s="12" t="str">
        <f t="shared" si="39"/>
        <v/>
      </c>
      <c r="I849" s="12" t="str">
        <f t="shared" si="40"/>
        <v/>
      </c>
      <c r="J849" s="12" t="str">
        <f t="shared" si="41"/>
        <v/>
      </c>
      <c r="K849" s="12" t="str">
        <f>IFERROR((E849 - VLOOKUP(C849, 'Stock Entry'!B:E, 4, FALSE)) * D849, "")</f>
        <v/>
      </c>
    </row>
    <row r="850" spans="7:11" x14ac:dyDescent="0.25">
      <c r="G850" s="12" t="str">
        <f t="shared" si="39"/>
        <v/>
      </c>
      <c r="I850" s="12" t="str">
        <f t="shared" si="40"/>
        <v/>
      </c>
      <c r="J850" s="12" t="str">
        <f t="shared" si="41"/>
        <v/>
      </c>
      <c r="K850" s="12" t="str">
        <f>IFERROR((E850 - VLOOKUP(C850, 'Stock Entry'!B:E, 4, FALSE)) * D850, "")</f>
        <v/>
      </c>
    </row>
    <row r="851" spans="7:11" x14ac:dyDescent="0.25">
      <c r="G851" s="12" t="str">
        <f t="shared" si="39"/>
        <v/>
      </c>
      <c r="I851" s="12" t="str">
        <f t="shared" si="40"/>
        <v/>
      </c>
      <c r="J851" s="12" t="str">
        <f t="shared" si="41"/>
        <v/>
      </c>
      <c r="K851" s="12" t="str">
        <f>IFERROR((E851 - VLOOKUP(C851, 'Stock Entry'!B:E, 4, FALSE)) * D851, "")</f>
        <v/>
      </c>
    </row>
    <row r="852" spans="7:11" x14ac:dyDescent="0.25">
      <c r="G852" s="12" t="str">
        <f t="shared" si="39"/>
        <v/>
      </c>
      <c r="I852" s="12" t="str">
        <f t="shared" si="40"/>
        <v/>
      </c>
      <c r="J852" s="12" t="str">
        <f t="shared" si="41"/>
        <v/>
      </c>
      <c r="K852" s="12" t="str">
        <f>IFERROR((E852 - VLOOKUP(C852, 'Stock Entry'!B:E, 4, FALSE)) * D852, "")</f>
        <v/>
      </c>
    </row>
    <row r="853" spans="7:11" x14ac:dyDescent="0.25">
      <c r="G853" s="12" t="str">
        <f t="shared" si="39"/>
        <v/>
      </c>
      <c r="I853" s="12" t="str">
        <f t="shared" si="40"/>
        <v/>
      </c>
      <c r="J853" s="12" t="str">
        <f t="shared" si="41"/>
        <v/>
      </c>
      <c r="K853" s="12" t="str">
        <f>IFERROR((E853 - VLOOKUP(C853, 'Stock Entry'!B:E, 4, FALSE)) * D853, "")</f>
        <v/>
      </c>
    </row>
    <row r="854" spans="7:11" x14ac:dyDescent="0.25">
      <c r="G854" s="12" t="str">
        <f t="shared" si="39"/>
        <v/>
      </c>
      <c r="I854" s="12" t="str">
        <f t="shared" si="40"/>
        <v/>
      </c>
      <c r="J854" s="12" t="str">
        <f t="shared" si="41"/>
        <v/>
      </c>
      <c r="K854" s="12" t="str">
        <f>IFERROR((E854 - VLOOKUP(C854, 'Stock Entry'!B:E, 4, FALSE)) * D854, "")</f>
        <v/>
      </c>
    </row>
    <row r="855" spans="7:11" x14ac:dyDescent="0.25">
      <c r="G855" s="12" t="str">
        <f t="shared" si="39"/>
        <v/>
      </c>
      <c r="I855" s="12" t="str">
        <f t="shared" si="40"/>
        <v/>
      </c>
      <c r="J855" s="12" t="str">
        <f t="shared" si="41"/>
        <v/>
      </c>
      <c r="K855" s="12" t="str">
        <f>IFERROR((E855 - VLOOKUP(C855, 'Stock Entry'!B:E, 4, FALSE)) * D855, "")</f>
        <v/>
      </c>
    </row>
    <row r="856" spans="7:11" x14ac:dyDescent="0.25">
      <c r="G856" s="12" t="str">
        <f t="shared" si="39"/>
        <v/>
      </c>
      <c r="I856" s="12" t="str">
        <f t="shared" si="40"/>
        <v/>
      </c>
      <c r="J856" s="12" t="str">
        <f t="shared" si="41"/>
        <v/>
      </c>
      <c r="K856" s="12" t="str">
        <f>IFERROR((E856 - VLOOKUP(C856, 'Stock Entry'!B:E, 4, FALSE)) * D856, "")</f>
        <v/>
      </c>
    </row>
    <row r="857" spans="7:11" x14ac:dyDescent="0.25">
      <c r="G857" s="12" t="str">
        <f t="shared" si="39"/>
        <v/>
      </c>
      <c r="I857" s="12" t="str">
        <f t="shared" si="40"/>
        <v/>
      </c>
      <c r="J857" s="12" t="str">
        <f t="shared" si="41"/>
        <v/>
      </c>
      <c r="K857" s="12" t="str">
        <f>IFERROR((E857 - VLOOKUP(C857, 'Stock Entry'!B:E, 4, FALSE)) * D857, "")</f>
        <v/>
      </c>
    </row>
    <row r="858" spans="7:11" x14ac:dyDescent="0.25">
      <c r="G858" s="12" t="str">
        <f t="shared" si="39"/>
        <v/>
      </c>
      <c r="I858" s="12" t="str">
        <f t="shared" si="40"/>
        <v/>
      </c>
      <c r="J858" s="12" t="str">
        <f t="shared" si="41"/>
        <v/>
      </c>
      <c r="K858" s="12" t="str">
        <f>IFERROR((E858 - VLOOKUP(C858, 'Stock Entry'!B:E, 4, FALSE)) * D858, "")</f>
        <v/>
      </c>
    </row>
    <row r="859" spans="7:11" x14ac:dyDescent="0.25">
      <c r="G859" s="12" t="str">
        <f t="shared" si="39"/>
        <v/>
      </c>
      <c r="I859" s="12" t="str">
        <f t="shared" si="40"/>
        <v/>
      </c>
      <c r="J859" s="12" t="str">
        <f t="shared" si="41"/>
        <v/>
      </c>
      <c r="K859" s="12" t="str">
        <f>IFERROR((E859 - VLOOKUP(C859, 'Stock Entry'!B:E, 4, FALSE)) * D859, "")</f>
        <v/>
      </c>
    </row>
    <row r="860" spans="7:11" x14ac:dyDescent="0.25">
      <c r="G860" s="12" t="str">
        <f t="shared" si="39"/>
        <v/>
      </c>
      <c r="I860" s="12" t="str">
        <f t="shared" si="40"/>
        <v/>
      </c>
      <c r="J860" s="12" t="str">
        <f t="shared" si="41"/>
        <v/>
      </c>
      <c r="K860" s="12" t="str">
        <f>IFERROR((E860 - VLOOKUP(C860, 'Stock Entry'!B:E, 4, FALSE)) * D860, "")</f>
        <v/>
      </c>
    </row>
    <row r="861" spans="7:11" x14ac:dyDescent="0.25">
      <c r="G861" s="12" t="str">
        <f t="shared" si="39"/>
        <v/>
      </c>
      <c r="I861" s="12" t="str">
        <f t="shared" si="40"/>
        <v/>
      </c>
      <c r="J861" s="12" t="str">
        <f t="shared" si="41"/>
        <v/>
      </c>
      <c r="K861" s="12" t="str">
        <f>IFERROR((E861 - VLOOKUP(C861, 'Stock Entry'!B:E, 4, FALSE)) * D861, "")</f>
        <v/>
      </c>
    </row>
    <row r="862" spans="7:11" x14ac:dyDescent="0.25">
      <c r="G862" s="12" t="str">
        <f t="shared" si="39"/>
        <v/>
      </c>
      <c r="I862" s="12" t="str">
        <f t="shared" si="40"/>
        <v/>
      </c>
      <c r="J862" s="12" t="str">
        <f t="shared" si="41"/>
        <v/>
      </c>
      <c r="K862" s="12" t="str">
        <f>IFERROR((E862 - VLOOKUP(C862, 'Stock Entry'!B:E, 4, FALSE)) * D862, "")</f>
        <v/>
      </c>
    </row>
    <row r="863" spans="7:11" x14ac:dyDescent="0.25">
      <c r="G863" s="12" t="str">
        <f t="shared" si="39"/>
        <v/>
      </c>
      <c r="I863" s="12" t="str">
        <f t="shared" si="40"/>
        <v/>
      </c>
      <c r="J863" s="12" t="str">
        <f t="shared" si="41"/>
        <v/>
      </c>
      <c r="K863" s="12" t="str">
        <f>IFERROR((E863 - VLOOKUP(C863, 'Stock Entry'!B:E, 4, FALSE)) * D863, "")</f>
        <v/>
      </c>
    </row>
    <row r="864" spans="7:11" x14ac:dyDescent="0.25">
      <c r="G864" s="12" t="str">
        <f t="shared" si="39"/>
        <v/>
      </c>
      <c r="I864" s="12" t="str">
        <f t="shared" si="40"/>
        <v/>
      </c>
      <c r="J864" s="12" t="str">
        <f t="shared" si="41"/>
        <v/>
      </c>
      <c r="K864" s="12" t="str">
        <f>IFERROR((E864 - VLOOKUP(C864, 'Stock Entry'!B:E, 4, FALSE)) * D864, "")</f>
        <v/>
      </c>
    </row>
    <row r="865" spans="7:11" x14ac:dyDescent="0.25">
      <c r="G865" s="12" t="str">
        <f t="shared" si="39"/>
        <v/>
      </c>
      <c r="I865" s="12" t="str">
        <f t="shared" si="40"/>
        <v/>
      </c>
      <c r="J865" s="12" t="str">
        <f t="shared" si="41"/>
        <v/>
      </c>
      <c r="K865" s="12" t="str">
        <f>IFERROR((E865 - VLOOKUP(C865, 'Stock Entry'!B:E, 4, FALSE)) * D865, "")</f>
        <v/>
      </c>
    </row>
    <row r="866" spans="7:11" x14ac:dyDescent="0.25">
      <c r="G866" s="12" t="str">
        <f t="shared" si="39"/>
        <v/>
      </c>
      <c r="I866" s="12" t="str">
        <f t="shared" si="40"/>
        <v/>
      </c>
      <c r="J866" s="12" t="str">
        <f t="shared" si="41"/>
        <v/>
      </c>
      <c r="K866" s="12" t="str">
        <f>IFERROR((E866 - VLOOKUP(C866, 'Stock Entry'!B:E, 4, FALSE)) * D866, "")</f>
        <v/>
      </c>
    </row>
    <row r="867" spans="7:11" x14ac:dyDescent="0.25">
      <c r="G867" s="12" t="str">
        <f t="shared" si="39"/>
        <v/>
      </c>
      <c r="I867" s="12" t="str">
        <f t="shared" si="40"/>
        <v/>
      </c>
      <c r="J867" s="12" t="str">
        <f t="shared" si="41"/>
        <v/>
      </c>
      <c r="K867" s="12" t="str">
        <f>IFERROR((E867 - VLOOKUP(C867, 'Stock Entry'!B:E, 4, FALSE)) * D867, "")</f>
        <v/>
      </c>
    </row>
    <row r="868" spans="7:11" x14ac:dyDescent="0.25">
      <c r="G868" s="12" t="str">
        <f t="shared" si="39"/>
        <v/>
      </c>
      <c r="I868" s="12" t="str">
        <f t="shared" si="40"/>
        <v/>
      </c>
      <c r="J868" s="12" t="str">
        <f t="shared" si="41"/>
        <v/>
      </c>
      <c r="K868" s="12" t="str">
        <f>IFERROR((E868 - VLOOKUP(C868, 'Stock Entry'!B:E, 4, FALSE)) * D868, "")</f>
        <v/>
      </c>
    </row>
    <row r="869" spans="7:11" x14ac:dyDescent="0.25">
      <c r="G869" s="12" t="str">
        <f t="shared" si="39"/>
        <v/>
      </c>
      <c r="I869" s="12" t="str">
        <f t="shared" si="40"/>
        <v/>
      </c>
      <c r="J869" s="12" t="str">
        <f t="shared" si="41"/>
        <v/>
      </c>
      <c r="K869" s="12" t="str">
        <f>IFERROR((E869 - VLOOKUP(C869, 'Stock Entry'!B:E, 4, FALSE)) * D869, "")</f>
        <v/>
      </c>
    </row>
    <row r="870" spans="7:11" x14ac:dyDescent="0.25">
      <c r="G870" s="12" t="str">
        <f t="shared" si="39"/>
        <v/>
      </c>
      <c r="I870" s="12" t="str">
        <f t="shared" si="40"/>
        <v/>
      </c>
      <c r="J870" s="12" t="str">
        <f t="shared" si="41"/>
        <v/>
      </c>
      <c r="K870" s="12" t="str">
        <f>IFERROR((E870 - VLOOKUP(C870, 'Stock Entry'!B:E, 4, FALSE)) * D870, "")</f>
        <v/>
      </c>
    </row>
    <row r="871" spans="7:11" x14ac:dyDescent="0.25">
      <c r="G871" s="12" t="str">
        <f t="shared" si="39"/>
        <v/>
      </c>
      <c r="I871" s="12" t="str">
        <f t="shared" si="40"/>
        <v/>
      </c>
      <c r="J871" s="12" t="str">
        <f t="shared" si="41"/>
        <v/>
      </c>
      <c r="K871" s="12" t="str">
        <f>IFERROR((E871 - VLOOKUP(C871, 'Stock Entry'!B:E, 4, FALSE)) * D871, "")</f>
        <v/>
      </c>
    </row>
    <row r="872" spans="7:11" x14ac:dyDescent="0.25">
      <c r="G872" s="12" t="str">
        <f t="shared" si="39"/>
        <v/>
      </c>
      <c r="I872" s="12" t="str">
        <f t="shared" si="40"/>
        <v/>
      </c>
      <c r="J872" s="12" t="str">
        <f t="shared" si="41"/>
        <v/>
      </c>
      <c r="K872" s="12" t="str">
        <f>IFERROR((E872 - VLOOKUP(C872, 'Stock Entry'!B:E, 4, FALSE)) * D872, "")</f>
        <v/>
      </c>
    </row>
    <row r="873" spans="7:11" x14ac:dyDescent="0.25">
      <c r="G873" s="12" t="str">
        <f t="shared" si="39"/>
        <v/>
      </c>
      <c r="I873" s="12" t="str">
        <f t="shared" si="40"/>
        <v/>
      </c>
      <c r="J873" s="12" t="str">
        <f t="shared" si="41"/>
        <v/>
      </c>
      <c r="K873" s="12" t="str">
        <f>IFERROR((E873 - VLOOKUP(C873, 'Stock Entry'!B:E, 4, FALSE)) * D873, "")</f>
        <v/>
      </c>
    </row>
    <row r="874" spans="7:11" x14ac:dyDescent="0.25">
      <c r="G874" s="12" t="str">
        <f t="shared" si="39"/>
        <v/>
      </c>
      <c r="I874" s="12" t="str">
        <f t="shared" si="40"/>
        <v/>
      </c>
      <c r="J874" s="12" t="str">
        <f t="shared" si="41"/>
        <v/>
      </c>
      <c r="K874" s="12" t="str">
        <f>IFERROR((E874 - VLOOKUP(C874, 'Stock Entry'!B:E, 4, FALSE)) * D874, "")</f>
        <v/>
      </c>
    </row>
    <row r="875" spans="7:11" x14ac:dyDescent="0.25">
      <c r="G875" s="12" t="str">
        <f t="shared" si="39"/>
        <v/>
      </c>
      <c r="I875" s="12" t="str">
        <f t="shared" si="40"/>
        <v/>
      </c>
      <c r="J875" s="12" t="str">
        <f t="shared" si="41"/>
        <v/>
      </c>
      <c r="K875" s="12" t="str">
        <f>IFERROR((E875 - VLOOKUP(C875, 'Stock Entry'!B:E, 4, FALSE)) * D875, "")</f>
        <v/>
      </c>
    </row>
    <row r="876" spans="7:11" x14ac:dyDescent="0.25">
      <c r="G876" s="12" t="str">
        <f t="shared" si="39"/>
        <v/>
      </c>
      <c r="I876" s="12" t="str">
        <f t="shared" si="40"/>
        <v/>
      </c>
      <c r="J876" s="12" t="str">
        <f t="shared" si="41"/>
        <v/>
      </c>
      <c r="K876" s="12" t="str">
        <f>IFERROR((E876 - VLOOKUP(C876, 'Stock Entry'!B:E, 4, FALSE)) * D876, "")</f>
        <v/>
      </c>
    </row>
    <row r="877" spans="7:11" x14ac:dyDescent="0.25">
      <c r="G877" s="12" t="str">
        <f t="shared" si="39"/>
        <v/>
      </c>
      <c r="I877" s="12" t="str">
        <f t="shared" si="40"/>
        <v/>
      </c>
      <c r="J877" s="12" t="str">
        <f t="shared" si="41"/>
        <v/>
      </c>
      <c r="K877" s="12" t="str">
        <f>IFERROR((E877 - VLOOKUP(C877, 'Stock Entry'!B:E, 4, FALSE)) * D877, "")</f>
        <v/>
      </c>
    </row>
    <row r="878" spans="7:11" x14ac:dyDescent="0.25">
      <c r="G878" s="12" t="str">
        <f t="shared" si="39"/>
        <v/>
      </c>
      <c r="I878" s="12" t="str">
        <f t="shared" si="40"/>
        <v/>
      </c>
      <c r="J878" s="12" t="str">
        <f t="shared" si="41"/>
        <v/>
      </c>
      <c r="K878" s="12" t="str">
        <f>IFERROR((E878 - VLOOKUP(C878, 'Stock Entry'!B:E, 4, FALSE)) * D878, "")</f>
        <v/>
      </c>
    </row>
    <row r="879" spans="7:11" x14ac:dyDescent="0.25">
      <c r="G879" s="12" t="str">
        <f t="shared" si="39"/>
        <v/>
      </c>
      <c r="I879" s="12" t="str">
        <f t="shared" si="40"/>
        <v/>
      </c>
      <c r="J879" s="12" t="str">
        <f t="shared" si="41"/>
        <v/>
      </c>
      <c r="K879" s="12" t="str">
        <f>IFERROR((E879 - VLOOKUP(C879, 'Stock Entry'!B:E, 4, FALSE)) * D879, "")</f>
        <v/>
      </c>
    </row>
    <row r="880" spans="7:11" x14ac:dyDescent="0.25">
      <c r="G880" s="12" t="str">
        <f t="shared" si="39"/>
        <v/>
      </c>
      <c r="I880" s="12" t="str">
        <f t="shared" si="40"/>
        <v/>
      </c>
      <c r="J880" s="12" t="str">
        <f t="shared" si="41"/>
        <v/>
      </c>
      <c r="K880" s="12" t="str">
        <f>IFERROR((E880 - VLOOKUP(C880, 'Stock Entry'!B:E, 4, FALSE)) * D880, "")</f>
        <v/>
      </c>
    </row>
    <row r="881" spans="7:11" x14ac:dyDescent="0.25">
      <c r="G881" s="12" t="str">
        <f t="shared" si="39"/>
        <v/>
      </c>
      <c r="I881" s="12" t="str">
        <f t="shared" si="40"/>
        <v/>
      </c>
      <c r="J881" s="12" t="str">
        <f t="shared" si="41"/>
        <v/>
      </c>
      <c r="K881" s="12" t="str">
        <f>IFERROR((E881 - VLOOKUP(C881, 'Stock Entry'!B:E, 4, FALSE)) * D881, "")</f>
        <v/>
      </c>
    </row>
    <row r="882" spans="7:11" x14ac:dyDescent="0.25">
      <c r="G882" s="12" t="str">
        <f t="shared" si="39"/>
        <v/>
      </c>
      <c r="I882" s="12" t="str">
        <f t="shared" si="40"/>
        <v/>
      </c>
      <c r="J882" s="12" t="str">
        <f t="shared" si="41"/>
        <v/>
      </c>
      <c r="K882" s="12" t="str">
        <f>IFERROR((E882 - VLOOKUP(C882, 'Stock Entry'!B:E, 4, FALSE)) * D882, "")</f>
        <v/>
      </c>
    </row>
    <row r="883" spans="7:11" x14ac:dyDescent="0.25">
      <c r="G883" s="12" t="str">
        <f t="shared" si="39"/>
        <v/>
      </c>
      <c r="I883" s="12" t="str">
        <f t="shared" si="40"/>
        <v/>
      </c>
      <c r="J883" s="12" t="str">
        <f t="shared" si="41"/>
        <v/>
      </c>
      <c r="K883" s="12" t="str">
        <f>IFERROR((E883 - VLOOKUP(C883, 'Stock Entry'!B:E, 4, FALSE)) * D883, "")</f>
        <v/>
      </c>
    </row>
    <row r="884" spans="7:11" x14ac:dyDescent="0.25">
      <c r="G884" s="12" t="str">
        <f t="shared" si="39"/>
        <v/>
      </c>
      <c r="I884" s="12" t="str">
        <f t="shared" si="40"/>
        <v/>
      </c>
      <c r="J884" s="12" t="str">
        <f t="shared" si="41"/>
        <v/>
      </c>
      <c r="K884" s="12" t="str">
        <f>IFERROR((E884 - VLOOKUP(C884, 'Stock Entry'!B:E, 4, FALSE)) * D884, "")</f>
        <v/>
      </c>
    </row>
    <row r="885" spans="7:11" x14ac:dyDescent="0.25">
      <c r="G885" s="12" t="str">
        <f t="shared" si="39"/>
        <v/>
      </c>
      <c r="I885" s="12" t="str">
        <f t="shared" si="40"/>
        <v/>
      </c>
      <c r="J885" s="12" t="str">
        <f t="shared" si="41"/>
        <v/>
      </c>
      <c r="K885" s="12" t="str">
        <f>IFERROR((E885 - VLOOKUP(C885, 'Stock Entry'!B:E, 4, FALSE)) * D885, "")</f>
        <v/>
      </c>
    </row>
    <row r="886" spans="7:11" x14ac:dyDescent="0.25">
      <c r="G886" s="12" t="str">
        <f t="shared" si="39"/>
        <v/>
      </c>
      <c r="I886" s="12" t="str">
        <f t="shared" si="40"/>
        <v/>
      </c>
      <c r="J886" s="12" t="str">
        <f t="shared" si="41"/>
        <v/>
      </c>
      <c r="K886" s="12" t="str">
        <f>IFERROR((E886 - VLOOKUP(C886, 'Stock Entry'!B:E, 4, FALSE)) * D886, "")</f>
        <v/>
      </c>
    </row>
    <row r="887" spans="7:11" x14ac:dyDescent="0.25">
      <c r="G887" s="12" t="str">
        <f t="shared" si="39"/>
        <v/>
      </c>
      <c r="I887" s="12" t="str">
        <f t="shared" si="40"/>
        <v/>
      </c>
      <c r="J887" s="12" t="str">
        <f t="shared" si="41"/>
        <v/>
      </c>
      <c r="K887" s="12" t="str">
        <f>IFERROR((E887 - VLOOKUP(C887, 'Stock Entry'!B:E, 4, FALSE)) * D887, "")</f>
        <v/>
      </c>
    </row>
    <row r="888" spans="7:11" x14ac:dyDescent="0.25">
      <c r="G888" s="12" t="str">
        <f t="shared" si="39"/>
        <v/>
      </c>
      <c r="I888" s="12" t="str">
        <f t="shared" si="40"/>
        <v/>
      </c>
      <c r="J888" s="12" t="str">
        <f t="shared" si="41"/>
        <v/>
      </c>
      <c r="K888" s="12" t="str">
        <f>IFERROR((E888 - VLOOKUP(C888, 'Stock Entry'!B:E, 4, FALSE)) * D888, "")</f>
        <v/>
      </c>
    </row>
    <row r="889" spans="7:11" x14ac:dyDescent="0.25">
      <c r="G889" s="12" t="str">
        <f t="shared" si="39"/>
        <v/>
      </c>
      <c r="I889" s="12" t="str">
        <f t="shared" si="40"/>
        <v/>
      </c>
      <c r="J889" s="12" t="str">
        <f t="shared" si="41"/>
        <v/>
      </c>
      <c r="K889" s="12" t="str">
        <f>IFERROR((E889 - VLOOKUP(C889, 'Stock Entry'!B:E, 4, FALSE)) * D889, "")</f>
        <v/>
      </c>
    </row>
    <row r="890" spans="7:11" x14ac:dyDescent="0.25">
      <c r="G890" s="12" t="str">
        <f t="shared" si="39"/>
        <v/>
      </c>
      <c r="I890" s="12" t="str">
        <f t="shared" si="40"/>
        <v/>
      </c>
      <c r="J890" s="12" t="str">
        <f t="shared" si="41"/>
        <v/>
      </c>
      <c r="K890" s="12" t="str">
        <f>IFERROR((E890 - VLOOKUP(C890, 'Stock Entry'!B:E, 4, FALSE)) * D890, "")</f>
        <v/>
      </c>
    </row>
    <row r="891" spans="7:11" x14ac:dyDescent="0.25">
      <c r="G891" s="12" t="str">
        <f t="shared" si="39"/>
        <v/>
      </c>
      <c r="I891" s="12" t="str">
        <f t="shared" si="40"/>
        <v/>
      </c>
      <c r="J891" s="12" t="str">
        <f t="shared" si="41"/>
        <v/>
      </c>
      <c r="K891" s="12" t="str">
        <f>IFERROR((E891 - VLOOKUP(C891, 'Stock Entry'!B:E, 4, FALSE)) * D891, "")</f>
        <v/>
      </c>
    </row>
    <row r="892" spans="7:11" x14ac:dyDescent="0.25">
      <c r="G892" s="12" t="str">
        <f t="shared" si="39"/>
        <v/>
      </c>
      <c r="I892" s="12" t="str">
        <f t="shared" si="40"/>
        <v/>
      </c>
      <c r="J892" s="12" t="str">
        <f t="shared" si="41"/>
        <v/>
      </c>
      <c r="K892" s="12" t="str">
        <f>IFERROR((E892 - VLOOKUP(C892, 'Stock Entry'!B:E, 4, FALSE)) * D892, "")</f>
        <v/>
      </c>
    </row>
    <row r="893" spans="7:11" x14ac:dyDescent="0.25">
      <c r="G893" s="12" t="str">
        <f t="shared" si="39"/>
        <v/>
      </c>
      <c r="I893" s="12" t="str">
        <f t="shared" si="40"/>
        <v/>
      </c>
      <c r="J893" s="12" t="str">
        <f t="shared" si="41"/>
        <v/>
      </c>
      <c r="K893" s="12" t="str">
        <f>IFERROR((E893 - VLOOKUP(C893, 'Stock Entry'!B:E, 4, FALSE)) * D893, "")</f>
        <v/>
      </c>
    </row>
    <row r="894" spans="7:11" x14ac:dyDescent="0.25">
      <c r="G894" s="12" t="str">
        <f t="shared" si="39"/>
        <v/>
      </c>
      <c r="I894" s="12" t="str">
        <f t="shared" si="40"/>
        <v/>
      </c>
      <c r="J894" s="12" t="str">
        <f t="shared" si="41"/>
        <v/>
      </c>
      <c r="K894" s="12" t="str">
        <f>IFERROR((E894 - VLOOKUP(C894, 'Stock Entry'!B:E, 4, FALSE)) * D894, "")</f>
        <v/>
      </c>
    </row>
    <row r="895" spans="7:11" x14ac:dyDescent="0.25">
      <c r="G895" s="12" t="str">
        <f t="shared" si="39"/>
        <v/>
      </c>
      <c r="I895" s="12" t="str">
        <f t="shared" si="40"/>
        <v/>
      </c>
      <c r="J895" s="12" t="str">
        <f t="shared" si="41"/>
        <v/>
      </c>
      <c r="K895" s="12" t="str">
        <f>IFERROR((E895 - VLOOKUP(C895, 'Stock Entry'!B:E, 4, FALSE)) * D895, "")</f>
        <v/>
      </c>
    </row>
    <row r="896" spans="7:11" x14ac:dyDescent="0.25">
      <c r="G896" s="12" t="str">
        <f t="shared" si="39"/>
        <v/>
      </c>
      <c r="I896" s="12" t="str">
        <f t="shared" si="40"/>
        <v/>
      </c>
      <c r="J896" s="12" t="str">
        <f t="shared" si="41"/>
        <v/>
      </c>
      <c r="K896" s="12" t="str">
        <f>IFERROR((E896 - VLOOKUP(C896, 'Stock Entry'!B:E, 4, FALSE)) * D896, "")</f>
        <v/>
      </c>
    </row>
    <row r="897" spans="7:11" x14ac:dyDescent="0.25">
      <c r="G897" s="12" t="str">
        <f t="shared" si="39"/>
        <v/>
      </c>
      <c r="I897" s="12" t="str">
        <f t="shared" si="40"/>
        <v/>
      </c>
      <c r="J897" s="12" t="str">
        <f t="shared" si="41"/>
        <v/>
      </c>
      <c r="K897" s="12" t="str">
        <f>IFERROR((E897 - VLOOKUP(C897, 'Stock Entry'!B:E, 4, FALSE)) * D897, "")</f>
        <v/>
      </c>
    </row>
    <row r="898" spans="7:11" x14ac:dyDescent="0.25">
      <c r="G898" s="12" t="str">
        <f t="shared" si="39"/>
        <v/>
      </c>
      <c r="I898" s="12" t="str">
        <f t="shared" si="40"/>
        <v/>
      </c>
      <c r="J898" s="12" t="str">
        <f t="shared" si="41"/>
        <v/>
      </c>
      <c r="K898" s="12" t="str">
        <f>IFERROR((E898 - VLOOKUP(C898, 'Stock Entry'!B:E, 4, FALSE)) * D898, "")</f>
        <v/>
      </c>
    </row>
    <row r="899" spans="7:11" x14ac:dyDescent="0.25">
      <c r="G899" s="12" t="str">
        <f t="shared" ref="G899:G962" si="42">IF(F899="Full Cash", D899*E899, "")</f>
        <v/>
      </c>
      <c r="I899" s="12" t="str">
        <f t="shared" ref="I899:I962" si="43">IF(F899="Full Credit",D899*E899,IF(F899="Partly Payment",(D899*E899)-H899,""))</f>
        <v/>
      </c>
      <c r="J899" s="12" t="str">
        <f t="shared" ref="J899:J962" si="44">IF(F899="Full Cash", G899, IF(F899="Full Credit", I899, IF(F899="Partly Payment", H899+I899, "")))</f>
        <v/>
      </c>
      <c r="K899" s="12" t="str">
        <f>IFERROR((E899 - VLOOKUP(C899, 'Stock Entry'!B:E, 4, FALSE)) * D899, "")</f>
        <v/>
      </c>
    </row>
    <row r="900" spans="7:11" x14ac:dyDescent="0.25">
      <c r="G900" s="12" t="str">
        <f t="shared" si="42"/>
        <v/>
      </c>
      <c r="I900" s="12" t="str">
        <f t="shared" si="43"/>
        <v/>
      </c>
      <c r="J900" s="12" t="str">
        <f t="shared" si="44"/>
        <v/>
      </c>
      <c r="K900" s="12" t="str">
        <f>IFERROR((E900 - VLOOKUP(C900, 'Stock Entry'!B:E, 4, FALSE)) * D900, "")</f>
        <v/>
      </c>
    </row>
    <row r="901" spans="7:11" x14ac:dyDescent="0.25">
      <c r="G901" s="12" t="str">
        <f t="shared" si="42"/>
        <v/>
      </c>
      <c r="I901" s="12" t="str">
        <f t="shared" si="43"/>
        <v/>
      </c>
      <c r="J901" s="12" t="str">
        <f t="shared" si="44"/>
        <v/>
      </c>
      <c r="K901" s="12" t="str">
        <f>IFERROR((E901 - VLOOKUP(C901, 'Stock Entry'!B:E, 4, FALSE)) * D901, "")</f>
        <v/>
      </c>
    </row>
    <row r="902" spans="7:11" x14ac:dyDescent="0.25">
      <c r="G902" s="12" t="str">
        <f t="shared" si="42"/>
        <v/>
      </c>
      <c r="I902" s="12" t="str">
        <f t="shared" si="43"/>
        <v/>
      </c>
      <c r="J902" s="12" t="str">
        <f t="shared" si="44"/>
        <v/>
      </c>
      <c r="K902" s="12" t="str">
        <f>IFERROR((E902 - VLOOKUP(C902, 'Stock Entry'!B:E, 4, FALSE)) * D902, "")</f>
        <v/>
      </c>
    </row>
    <row r="903" spans="7:11" x14ac:dyDescent="0.25">
      <c r="G903" s="12" t="str">
        <f t="shared" si="42"/>
        <v/>
      </c>
      <c r="I903" s="12" t="str">
        <f t="shared" si="43"/>
        <v/>
      </c>
      <c r="J903" s="12" t="str">
        <f t="shared" si="44"/>
        <v/>
      </c>
      <c r="K903" s="12" t="str">
        <f>IFERROR((E903 - VLOOKUP(C903, 'Stock Entry'!B:E, 4, FALSE)) * D903, "")</f>
        <v/>
      </c>
    </row>
    <row r="904" spans="7:11" x14ac:dyDescent="0.25">
      <c r="G904" s="12" t="str">
        <f t="shared" si="42"/>
        <v/>
      </c>
      <c r="I904" s="12" t="str">
        <f t="shared" si="43"/>
        <v/>
      </c>
      <c r="J904" s="12" t="str">
        <f t="shared" si="44"/>
        <v/>
      </c>
      <c r="K904" s="12" t="str">
        <f>IFERROR((E904 - VLOOKUP(C904, 'Stock Entry'!B:E, 4, FALSE)) * D904, "")</f>
        <v/>
      </c>
    </row>
    <row r="905" spans="7:11" x14ac:dyDescent="0.25">
      <c r="G905" s="12" t="str">
        <f t="shared" si="42"/>
        <v/>
      </c>
      <c r="I905" s="12" t="str">
        <f t="shared" si="43"/>
        <v/>
      </c>
      <c r="J905" s="12" t="str">
        <f t="shared" si="44"/>
        <v/>
      </c>
      <c r="K905" s="12" t="str">
        <f>IFERROR((E905 - VLOOKUP(C905, 'Stock Entry'!B:E, 4, FALSE)) * D905, "")</f>
        <v/>
      </c>
    </row>
    <row r="906" spans="7:11" x14ac:dyDescent="0.25">
      <c r="G906" s="12" t="str">
        <f t="shared" si="42"/>
        <v/>
      </c>
      <c r="I906" s="12" t="str">
        <f t="shared" si="43"/>
        <v/>
      </c>
      <c r="J906" s="12" t="str">
        <f t="shared" si="44"/>
        <v/>
      </c>
      <c r="K906" s="12" t="str">
        <f>IFERROR((E906 - VLOOKUP(C906, 'Stock Entry'!B:E, 4, FALSE)) * D906, "")</f>
        <v/>
      </c>
    </row>
    <row r="907" spans="7:11" x14ac:dyDescent="0.25">
      <c r="G907" s="12" t="str">
        <f t="shared" si="42"/>
        <v/>
      </c>
      <c r="I907" s="12" t="str">
        <f t="shared" si="43"/>
        <v/>
      </c>
      <c r="J907" s="12" t="str">
        <f t="shared" si="44"/>
        <v/>
      </c>
      <c r="K907" s="12" t="str">
        <f>IFERROR((E907 - VLOOKUP(C907, 'Stock Entry'!B:E, 4, FALSE)) * D907, "")</f>
        <v/>
      </c>
    </row>
    <row r="908" spans="7:11" x14ac:dyDescent="0.25">
      <c r="G908" s="12" t="str">
        <f t="shared" si="42"/>
        <v/>
      </c>
      <c r="I908" s="12" t="str">
        <f t="shared" si="43"/>
        <v/>
      </c>
      <c r="J908" s="12" t="str">
        <f t="shared" si="44"/>
        <v/>
      </c>
      <c r="K908" s="12" t="str">
        <f>IFERROR((E908 - VLOOKUP(C908, 'Stock Entry'!B:E, 4, FALSE)) * D908, "")</f>
        <v/>
      </c>
    </row>
    <row r="909" spans="7:11" x14ac:dyDescent="0.25">
      <c r="G909" s="12" t="str">
        <f t="shared" si="42"/>
        <v/>
      </c>
      <c r="I909" s="12" t="str">
        <f t="shared" si="43"/>
        <v/>
      </c>
      <c r="J909" s="12" t="str">
        <f t="shared" si="44"/>
        <v/>
      </c>
      <c r="K909" s="12" t="str">
        <f>IFERROR((E909 - VLOOKUP(C909, 'Stock Entry'!B:E, 4, FALSE)) * D909, "")</f>
        <v/>
      </c>
    </row>
    <row r="910" spans="7:11" x14ac:dyDescent="0.25">
      <c r="G910" s="12" t="str">
        <f t="shared" si="42"/>
        <v/>
      </c>
      <c r="I910" s="12" t="str">
        <f t="shared" si="43"/>
        <v/>
      </c>
      <c r="J910" s="12" t="str">
        <f t="shared" si="44"/>
        <v/>
      </c>
      <c r="K910" s="12" t="str">
        <f>IFERROR((E910 - VLOOKUP(C910, 'Stock Entry'!B:E, 4, FALSE)) * D910, "")</f>
        <v/>
      </c>
    </row>
    <row r="911" spans="7:11" x14ac:dyDescent="0.25">
      <c r="G911" s="12" t="str">
        <f t="shared" si="42"/>
        <v/>
      </c>
      <c r="I911" s="12" t="str">
        <f t="shared" si="43"/>
        <v/>
      </c>
      <c r="J911" s="12" t="str">
        <f t="shared" si="44"/>
        <v/>
      </c>
      <c r="K911" s="12" t="str">
        <f>IFERROR((E911 - VLOOKUP(C911, 'Stock Entry'!B:E, 4, FALSE)) * D911, "")</f>
        <v/>
      </c>
    </row>
    <row r="912" spans="7:11" x14ac:dyDescent="0.25">
      <c r="G912" s="12" t="str">
        <f t="shared" si="42"/>
        <v/>
      </c>
      <c r="I912" s="12" t="str">
        <f t="shared" si="43"/>
        <v/>
      </c>
      <c r="J912" s="12" t="str">
        <f t="shared" si="44"/>
        <v/>
      </c>
      <c r="K912" s="12" t="str">
        <f>IFERROR((E912 - VLOOKUP(C912, 'Stock Entry'!B:E, 4, FALSE)) * D912, "")</f>
        <v/>
      </c>
    </row>
    <row r="913" spans="7:11" x14ac:dyDescent="0.25">
      <c r="G913" s="12" t="str">
        <f t="shared" si="42"/>
        <v/>
      </c>
      <c r="I913" s="12" t="str">
        <f t="shared" si="43"/>
        <v/>
      </c>
      <c r="J913" s="12" t="str">
        <f t="shared" si="44"/>
        <v/>
      </c>
      <c r="K913" s="12" t="str">
        <f>IFERROR((E913 - VLOOKUP(C913, 'Stock Entry'!B:E, 4, FALSE)) * D913, "")</f>
        <v/>
      </c>
    </row>
    <row r="914" spans="7:11" x14ac:dyDescent="0.25">
      <c r="G914" s="12" t="str">
        <f t="shared" si="42"/>
        <v/>
      </c>
      <c r="I914" s="12" t="str">
        <f t="shared" si="43"/>
        <v/>
      </c>
      <c r="J914" s="12" t="str">
        <f t="shared" si="44"/>
        <v/>
      </c>
      <c r="K914" s="12" t="str">
        <f>IFERROR((E914 - VLOOKUP(C914, 'Stock Entry'!B:E, 4, FALSE)) * D914, "")</f>
        <v/>
      </c>
    </row>
    <row r="915" spans="7:11" x14ac:dyDescent="0.25">
      <c r="G915" s="12" t="str">
        <f t="shared" si="42"/>
        <v/>
      </c>
      <c r="I915" s="12" t="str">
        <f t="shared" si="43"/>
        <v/>
      </c>
      <c r="J915" s="12" t="str">
        <f t="shared" si="44"/>
        <v/>
      </c>
      <c r="K915" s="12" t="str">
        <f>IFERROR((E915 - VLOOKUP(C915, 'Stock Entry'!B:E, 4, FALSE)) * D915, "")</f>
        <v/>
      </c>
    </row>
    <row r="916" spans="7:11" x14ac:dyDescent="0.25">
      <c r="G916" s="12" t="str">
        <f t="shared" si="42"/>
        <v/>
      </c>
      <c r="I916" s="12" t="str">
        <f t="shared" si="43"/>
        <v/>
      </c>
      <c r="J916" s="12" t="str">
        <f t="shared" si="44"/>
        <v/>
      </c>
      <c r="K916" s="12" t="str">
        <f>IFERROR((E916 - VLOOKUP(C916, 'Stock Entry'!B:E, 4, FALSE)) * D916, "")</f>
        <v/>
      </c>
    </row>
    <row r="917" spans="7:11" x14ac:dyDescent="0.25">
      <c r="G917" s="12" t="str">
        <f t="shared" si="42"/>
        <v/>
      </c>
      <c r="I917" s="12" t="str">
        <f t="shared" si="43"/>
        <v/>
      </c>
      <c r="J917" s="12" t="str">
        <f t="shared" si="44"/>
        <v/>
      </c>
      <c r="K917" s="12" t="str">
        <f>IFERROR((E917 - VLOOKUP(C917, 'Stock Entry'!B:E, 4, FALSE)) * D917, "")</f>
        <v/>
      </c>
    </row>
    <row r="918" spans="7:11" x14ac:dyDescent="0.25">
      <c r="G918" s="12" t="str">
        <f t="shared" si="42"/>
        <v/>
      </c>
      <c r="I918" s="12" t="str">
        <f t="shared" si="43"/>
        <v/>
      </c>
      <c r="J918" s="12" t="str">
        <f t="shared" si="44"/>
        <v/>
      </c>
      <c r="K918" s="12" t="str">
        <f>IFERROR((E918 - VLOOKUP(C918, 'Stock Entry'!B:E, 4, FALSE)) * D918, "")</f>
        <v/>
      </c>
    </row>
    <row r="919" spans="7:11" x14ac:dyDescent="0.25">
      <c r="G919" s="12" t="str">
        <f t="shared" si="42"/>
        <v/>
      </c>
      <c r="I919" s="12" t="str">
        <f t="shared" si="43"/>
        <v/>
      </c>
      <c r="J919" s="12" t="str">
        <f t="shared" si="44"/>
        <v/>
      </c>
      <c r="K919" s="12" t="str">
        <f>IFERROR((E919 - VLOOKUP(C919, 'Stock Entry'!B:E, 4, FALSE)) * D919, "")</f>
        <v/>
      </c>
    </row>
    <row r="920" spans="7:11" x14ac:dyDescent="0.25">
      <c r="G920" s="12" t="str">
        <f t="shared" si="42"/>
        <v/>
      </c>
      <c r="I920" s="12" t="str">
        <f t="shared" si="43"/>
        <v/>
      </c>
      <c r="J920" s="12" t="str">
        <f t="shared" si="44"/>
        <v/>
      </c>
      <c r="K920" s="12" t="str">
        <f>IFERROR((E920 - VLOOKUP(C920, 'Stock Entry'!B:E, 4, FALSE)) * D920, "")</f>
        <v/>
      </c>
    </row>
    <row r="921" spans="7:11" x14ac:dyDescent="0.25">
      <c r="G921" s="12" t="str">
        <f t="shared" si="42"/>
        <v/>
      </c>
      <c r="I921" s="12" t="str">
        <f t="shared" si="43"/>
        <v/>
      </c>
      <c r="J921" s="12" t="str">
        <f t="shared" si="44"/>
        <v/>
      </c>
      <c r="K921" s="12" t="str">
        <f>IFERROR((E921 - VLOOKUP(C921, 'Stock Entry'!B:E, 4, FALSE)) * D921, "")</f>
        <v/>
      </c>
    </row>
    <row r="922" spans="7:11" x14ac:dyDescent="0.25">
      <c r="G922" s="12" t="str">
        <f t="shared" si="42"/>
        <v/>
      </c>
      <c r="I922" s="12" t="str">
        <f t="shared" si="43"/>
        <v/>
      </c>
      <c r="J922" s="12" t="str">
        <f t="shared" si="44"/>
        <v/>
      </c>
      <c r="K922" s="12" t="str">
        <f>IFERROR((E922 - VLOOKUP(C922, 'Stock Entry'!B:E, 4, FALSE)) * D922, "")</f>
        <v/>
      </c>
    </row>
    <row r="923" spans="7:11" x14ac:dyDescent="0.25">
      <c r="G923" s="12" t="str">
        <f t="shared" si="42"/>
        <v/>
      </c>
      <c r="I923" s="12" t="str">
        <f t="shared" si="43"/>
        <v/>
      </c>
      <c r="J923" s="12" t="str">
        <f t="shared" si="44"/>
        <v/>
      </c>
      <c r="K923" s="12" t="str">
        <f>IFERROR((E923 - VLOOKUP(C923, 'Stock Entry'!B:E, 4, FALSE)) * D923, "")</f>
        <v/>
      </c>
    </row>
    <row r="924" spans="7:11" x14ac:dyDescent="0.25">
      <c r="G924" s="12" t="str">
        <f t="shared" si="42"/>
        <v/>
      </c>
      <c r="I924" s="12" t="str">
        <f t="shared" si="43"/>
        <v/>
      </c>
      <c r="J924" s="12" t="str">
        <f t="shared" si="44"/>
        <v/>
      </c>
      <c r="K924" s="12" t="str">
        <f>IFERROR((E924 - VLOOKUP(C924, 'Stock Entry'!B:E, 4, FALSE)) * D924, "")</f>
        <v/>
      </c>
    </row>
    <row r="925" spans="7:11" x14ac:dyDescent="0.25">
      <c r="G925" s="12" t="str">
        <f t="shared" si="42"/>
        <v/>
      </c>
      <c r="I925" s="12" t="str">
        <f t="shared" si="43"/>
        <v/>
      </c>
      <c r="J925" s="12" t="str">
        <f t="shared" si="44"/>
        <v/>
      </c>
      <c r="K925" s="12" t="str">
        <f>IFERROR((E925 - VLOOKUP(C925, 'Stock Entry'!B:E, 4, FALSE)) * D925, "")</f>
        <v/>
      </c>
    </row>
    <row r="926" spans="7:11" x14ac:dyDescent="0.25">
      <c r="G926" s="12" t="str">
        <f t="shared" si="42"/>
        <v/>
      </c>
      <c r="I926" s="12" t="str">
        <f t="shared" si="43"/>
        <v/>
      </c>
      <c r="J926" s="12" t="str">
        <f t="shared" si="44"/>
        <v/>
      </c>
      <c r="K926" s="12" t="str">
        <f>IFERROR((E926 - VLOOKUP(C926, 'Stock Entry'!B:E, 4, FALSE)) * D926, "")</f>
        <v/>
      </c>
    </row>
    <row r="927" spans="7:11" x14ac:dyDescent="0.25">
      <c r="G927" s="12" t="str">
        <f t="shared" si="42"/>
        <v/>
      </c>
      <c r="I927" s="12" t="str">
        <f t="shared" si="43"/>
        <v/>
      </c>
      <c r="J927" s="12" t="str">
        <f t="shared" si="44"/>
        <v/>
      </c>
      <c r="K927" s="12" t="str">
        <f>IFERROR((E927 - VLOOKUP(C927, 'Stock Entry'!B:E, 4, FALSE)) * D927, "")</f>
        <v/>
      </c>
    </row>
    <row r="928" spans="7:11" x14ac:dyDescent="0.25">
      <c r="G928" s="12" t="str">
        <f t="shared" si="42"/>
        <v/>
      </c>
      <c r="I928" s="12" t="str">
        <f t="shared" si="43"/>
        <v/>
      </c>
      <c r="J928" s="12" t="str">
        <f t="shared" si="44"/>
        <v/>
      </c>
      <c r="K928" s="12" t="str">
        <f>IFERROR((E928 - VLOOKUP(C928, 'Stock Entry'!B:E, 4, FALSE)) * D928, "")</f>
        <v/>
      </c>
    </row>
    <row r="929" spans="7:11" x14ac:dyDescent="0.25">
      <c r="G929" s="12" t="str">
        <f t="shared" si="42"/>
        <v/>
      </c>
      <c r="I929" s="12" t="str">
        <f t="shared" si="43"/>
        <v/>
      </c>
      <c r="J929" s="12" t="str">
        <f t="shared" si="44"/>
        <v/>
      </c>
      <c r="K929" s="12" t="str">
        <f>IFERROR((E929 - VLOOKUP(C929, 'Stock Entry'!B:E, 4, FALSE)) * D929, "")</f>
        <v/>
      </c>
    </row>
    <row r="930" spans="7:11" x14ac:dyDescent="0.25">
      <c r="G930" s="12" t="str">
        <f t="shared" si="42"/>
        <v/>
      </c>
      <c r="I930" s="12" t="str">
        <f t="shared" si="43"/>
        <v/>
      </c>
      <c r="J930" s="12" t="str">
        <f t="shared" si="44"/>
        <v/>
      </c>
      <c r="K930" s="12" t="str">
        <f>IFERROR((E930 - VLOOKUP(C930, 'Stock Entry'!B:E, 4, FALSE)) * D930, "")</f>
        <v/>
      </c>
    </row>
    <row r="931" spans="7:11" x14ac:dyDescent="0.25">
      <c r="G931" s="12" t="str">
        <f t="shared" si="42"/>
        <v/>
      </c>
      <c r="I931" s="12" t="str">
        <f t="shared" si="43"/>
        <v/>
      </c>
      <c r="J931" s="12" t="str">
        <f t="shared" si="44"/>
        <v/>
      </c>
      <c r="K931" s="12" t="str">
        <f>IFERROR((E931 - VLOOKUP(C931, 'Stock Entry'!B:E, 4, FALSE)) * D931, "")</f>
        <v/>
      </c>
    </row>
    <row r="932" spans="7:11" x14ac:dyDescent="0.25">
      <c r="G932" s="12" t="str">
        <f t="shared" si="42"/>
        <v/>
      </c>
      <c r="I932" s="12" t="str">
        <f t="shared" si="43"/>
        <v/>
      </c>
      <c r="J932" s="12" t="str">
        <f t="shared" si="44"/>
        <v/>
      </c>
      <c r="K932" s="12" t="str">
        <f>IFERROR((E932 - VLOOKUP(C932, 'Stock Entry'!B:E, 4, FALSE)) * D932, "")</f>
        <v/>
      </c>
    </row>
    <row r="933" spans="7:11" x14ac:dyDescent="0.25">
      <c r="G933" s="12" t="str">
        <f t="shared" si="42"/>
        <v/>
      </c>
      <c r="I933" s="12" t="str">
        <f t="shared" si="43"/>
        <v/>
      </c>
      <c r="J933" s="12" t="str">
        <f t="shared" si="44"/>
        <v/>
      </c>
      <c r="K933" s="12" t="str">
        <f>IFERROR((E933 - VLOOKUP(C933, 'Stock Entry'!B:E, 4, FALSE)) * D933, "")</f>
        <v/>
      </c>
    </row>
    <row r="934" spans="7:11" x14ac:dyDescent="0.25">
      <c r="G934" s="12" t="str">
        <f t="shared" si="42"/>
        <v/>
      </c>
      <c r="I934" s="12" t="str">
        <f t="shared" si="43"/>
        <v/>
      </c>
      <c r="J934" s="12" t="str">
        <f t="shared" si="44"/>
        <v/>
      </c>
      <c r="K934" s="12" t="str">
        <f>IFERROR((E934 - VLOOKUP(C934, 'Stock Entry'!B:E, 4, FALSE)) * D934, "")</f>
        <v/>
      </c>
    </row>
    <row r="935" spans="7:11" x14ac:dyDescent="0.25">
      <c r="G935" s="12" t="str">
        <f t="shared" si="42"/>
        <v/>
      </c>
      <c r="I935" s="12" t="str">
        <f t="shared" si="43"/>
        <v/>
      </c>
      <c r="J935" s="12" t="str">
        <f t="shared" si="44"/>
        <v/>
      </c>
      <c r="K935" s="12" t="str">
        <f>IFERROR((E935 - VLOOKUP(C935, 'Stock Entry'!B:E, 4, FALSE)) * D935, "")</f>
        <v/>
      </c>
    </row>
    <row r="936" spans="7:11" x14ac:dyDescent="0.25">
      <c r="G936" s="12" t="str">
        <f t="shared" si="42"/>
        <v/>
      </c>
      <c r="I936" s="12" t="str">
        <f t="shared" si="43"/>
        <v/>
      </c>
      <c r="J936" s="12" t="str">
        <f t="shared" si="44"/>
        <v/>
      </c>
      <c r="K936" s="12" t="str">
        <f>IFERROR((E936 - VLOOKUP(C936, 'Stock Entry'!B:E, 4, FALSE)) * D936, "")</f>
        <v/>
      </c>
    </row>
    <row r="937" spans="7:11" x14ac:dyDescent="0.25">
      <c r="G937" s="12" t="str">
        <f t="shared" si="42"/>
        <v/>
      </c>
      <c r="I937" s="12" t="str">
        <f t="shared" si="43"/>
        <v/>
      </c>
      <c r="J937" s="12" t="str">
        <f t="shared" si="44"/>
        <v/>
      </c>
      <c r="K937" s="12" t="str">
        <f>IFERROR((E937 - VLOOKUP(C937, 'Stock Entry'!B:E, 4, FALSE)) * D937, "")</f>
        <v/>
      </c>
    </row>
    <row r="938" spans="7:11" x14ac:dyDescent="0.25">
      <c r="G938" s="12" t="str">
        <f t="shared" si="42"/>
        <v/>
      </c>
      <c r="I938" s="12" t="str">
        <f t="shared" si="43"/>
        <v/>
      </c>
      <c r="J938" s="12" t="str">
        <f t="shared" si="44"/>
        <v/>
      </c>
      <c r="K938" s="12" t="str">
        <f>IFERROR((E938 - VLOOKUP(C938, 'Stock Entry'!B:E, 4, FALSE)) * D938, "")</f>
        <v/>
      </c>
    </row>
    <row r="939" spans="7:11" x14ac:dyDescent="0.25">
      <c r="G939" s="12" t="str">
        <f t="shared" si="42"/>
        <v/>
      </c>
      <c r="I939" s="12" t="str">
        <f t="shared" si="43"/>
        <v/>
      </c>
      <c r="J939" s="12" t="str">
        <f t="shared" si="44"/>
        <v/>
      </c>
      <c r="K939" s="12" t="str">
        <f>IFERROR((E939 - VLOOKUP(C939, 'Stock Entry'!B:E, 4, FALSE)) * D939, "")</f>
        <v/>
      </c>
    </row>
    <row r="940" spans="7:11" x14ac:dyDescent="0.25">
      <c r="G940" s="12" t="str">
        <f t="shared" si="42"/>
        <v/>
      </c>
      <c r="I940" s="12" t="str">
        <f t="shared" si="43"/>
        <v/>
      </c>
      <c r="J940" s="12" t="str">
        <f t="shared" si="44"/>
        <v/>
      </c>
      <c r="K940" s="12" t="str">
        <f>IFERROR((E940 - VLOOKUP(C940, 'Stock Entry'!B:E, 4, FALSE)) * D940, "")</f>
        <v/>
      </c>
    </row>
    <row r="941" spans="7:11" x14ac:dyDescent="0.25">
      <c r="G941" s="12" t="str">
        <f t="shared" si="42"/>
        <v/>
      </c>
      <c r="I941" s="12" t="str">
        <f t="shared" si="43"/>
        <v/>
      </c>
      <c r="J941" s="12" t="str">
        <f t="shared" si="44"/>
        <v/>
      </c>
      <c r="K941" s="12" t="str">
        <f>IFERROR((E941 - VLOOKUP(C941, 'Stock Entry'!B:E, 4, FALSE)) * D941, "")</f>
        <v/>
      </c>
    </row>
    <row r="942" spans="7:11" x14ac:dyDescent="0.25">
      <c r="G942" s="12" t="str">
        <f t="shared" si="42"/>
        <v/>
      </c>
      <c r="I942" s="12" t="str">
        <f t="shared" si="43"/>
        <v/>
      </c>
      <c r="J942" s="12" t="str">
        <f t="shared" si="44"/>
        <v/>
      </c>
      <c r="K942" s="12" t="str">
        <f>IFERROR((E942 - VLOOKUP(C942, 'Stock Entry'!B:E, 4, FALSE)) * D942, "")</f>
        <v/>
      </c>
    </row>
    <row r="943" spans="7:11" x14ac:dyDescent="0.25">
      <c r="G943" s="12" t="str">
        <f t="shared" si="42"/>
        <v/>
      </c>
      <c r="I943" s="12" t="str">
        <f t="shared" si="43"/>
        <v/>
      </c>
      <c r="J943" s="12" t="str">
        <f t="shared" si="44"/>
        <v/>
      </c>
      <c r="K943" s="12" t="str">
        <f>IFERROR((E943 - VLOOKUP(C943, 'Stock Entry'!B:E, 4, FALSE)) * D943, "")</f>
        <v/>
      </c>
    </row>
    <row r="944" spans="7:11" x14ac:dyDescent="0.25">
      <c r="G944" s="12" t="str">
        <f t="shared" si="42"/>
        <v/>
      </c>
      <c r="I944" s="12" t="str">
        <f t="shared" si="43"/>
        <v/>
      </c>
      <c r="J944" s="12" t="str">
        <f t="shared" si="44"/>
        <v/>
      </c>
      <c r="K944" s="12" t="str">
        <f>IFERROR((E944 - VLOOKUP(C944, 'Stock Entry'!B:E, 4, FALSE)) * D944, "")</f>
        <v/>
      </c>
    </row>
    <row r="945" spans="7:11" x14ac:dyDescent="0.25">
      <c r="G945" s="12" t="str">
        <f t="shared" si="42"/>
        <v/>
      </c>
      <c r="I945" s="12" t="str">
        <f t="shared" si="43"/>
        <v/>
      </c>
      <c r="J945" s="12" t="str">
        <f t="shared" si="44"/>
        <v/>
      </c>
      <c r="K945" s="12" t="str">
        <f>IFERROR((E945 - VLOOKUP(C945, 'Stock Entry'!B:E, 4, FALSE)) * D945, "")</f>
        <v/>
      </c>
    </row>
    <row r="946" spans="7:11" x14ac:dyDescent="0.25">
      <c r="G946" s="12" t="str">
        <f t="shared" si="42"/>
        <v/>
      </c>
      <c r="I946" s="12" t="str">
        <f t="shared" si="43"/>
        <v/>
      </c>
      <c r="J946" s="12" t="str">
        <f t="shared" si="44"/>
        <v/>
      </c>
      <c r="K946" s="12" t="str">
        <f>IFERROR((E946 - VLOOKUP(C946, 'Stock Entry'!B:E, 4, FALSE)) * D946, "")</f>
        <v/>
      </c>
    </row>
    <row r="947" spans="7:11" x14ac:dyDescent="0.25">
      <c r="G947" s="12" t="str">
        <f t="shared" si="42"/>
        <v/>
      </c>
      <c r="I947" s="12" t="str">
        <f t="shared" si="43"/>
        <v/>
      </c>
      <c r="J947" s="12" t="str">
        <f t="shared" si="44"/>
        <v/>
      </c>
      <c r="K947" s="12" t="str">
        <f>IFERROR((E947 - VLOOKUP(C947, 'Stock Entry'!B:E, 4, FALSE)) * D947, "")</f>
        <v/>
      </c>
    </row>
    <row r="948" spans="7:11" x14ac:dyDescent="0.25">
      <c r="G948" s="12" t="str">
        <f t="shared" si="42"/>
        <v/>
      </c>
      <c r="I948" s="12" t="str">
        <f t="shared" si="43"/>
        <v/>
      </c>
      <c r="J948" s="12" t="str">
        <f t="shared" si="44"/>
        <v/>
      </c>
      <c r="K948" s="12" t="str">
        <f>IFERROR((E948 - VLOOKUP(C948, 'Stock Entry'!B:E, 4, FALSE)) * D948, "")</f>
        <v/>
      </c>
    </row>
    <row r="949" spans="7:11" x14ac:dyDescent="0.25">
      <c r="G949" s="12" t="str">
        <f t="shared" si="42"/>
        <v/>
      </c>
      <c r="I949" s="12" t="str">
        <f t="shared" si="43"/>
        <v/>
      </c>
      <c r="J949" s="12" t="str">
        <f t="shared" si="44"/>
        <v/>
      </c>
      <c r="K949" s="12" t="str">
        <f>IFERROR((E949 - VLOOKUP(C949, 'Stock Entry'!B:E, 4, FALSE)) * D949, "")</f>
        <v/>
      </c>
    </row>
    <row r="950" spans="7:11" x14ac:dyDescent="0.25">
      <c r="G950" s="12" t="str">
        <f t="shared" si="42"/>
        <v/>
      </c>
      <c r="I950" s="12" t="str">
        <f t="shared" si="43"/>
        <v/>
      </c>
      <c r="J950" s="12" t="str">
        <f t="shared" si="44"/>
        <v/>
      </c>
      <c r="K950" s="12" t="str">
        <f>IFERROR((E950 - VLOOKUP(C950, 'Stock Entry'!B:E, 4, FALSE)) * D950, "")</f>
        <v/>
      </c>
    </row>
    <row r="951" spans="7:11" x14ac:dyDescent="0.25">
      <c r="G951" s="12" t="str">
        <f t="shared" si="42"/>
        <v/>
      </c>
      <c r="I951" s="12" t="str">
        <f t="shared" si="43"/>
        <v/>
      </c>
      <c r="J951" s="12" t="str">
        <f t="shared" si="44"/>
        <v/>
      </c>
      <c r="K951" s="12" t="str">
        <f>IFERROR((E951 - VLOOKUP(C951, 'Stock Entry'!B:E, 4, FALSE)) * D951, "")</f>
        <v/>
      </c>
    </row>
    <row r="952" spans="7:11" x14ac:dyDescent="0.25">
      <c r="G952" s="12" t="str">
        <f t="shared" si="42"/>
        <v/>
      </c>
      <c r="I952" s="12" t="str">
        <f t="shared" si="43"/>
        <v/>
      </c>
      <c r="J952" s="12" t="str">
        <f t="shared" si="44"/>
        <v/>
      </c>
      <c r="K952" s="12" t="str">
        <f>IFERROR((E952 - VLOOKUP(C952, 'Stock Entry'!B:E, 4, FALSE)) * D952, "")</f>
        <v/>
      </c>
    </row>
    <row r="953" spans="7:11" x14ac:dyDescent="0.25">
      <c r="G953" s="12" t="str">
        <f t="shared" si="42"/>
        <v/>
      </c>
      <c r="I953" s="12" t="str">
        <f t="shared" si="43"/>
        <v/>
      </c>
      <c r="J953" s="12" t="str">
        <f t="shared" si="44"/>
        <v/>
      </c>
      <c r="K953" s="12" t="str">
        <f>IFERROR((E953 - VLOOKUP(C953, 'Stock Entry'!B:E, 4, FALSE)) * D953, "")</f>
        <v/>
      </c>
    </row>
    <row r="954" spans="7:11" x14ac:dyDescent="0.25">
      <c r="G954" s="12" t="str">
        <f t="shared" si="42"/>
        <v/>
      </c>
      <c r="I954" s="12" t="str">
        <f t="shared" si="43"/>
        <v/>
      </c>
      <c r="J954" s="12" t="str">
        <f t="shared" si="44"/>
        <v/>
      </c>
      <c r="K954" s="12" t="str">
        <f>IFERROR((E954 - VLOOKUP(C954, 'Stock Entry'!B:E, 4, FALSE)) * D954, "")</f>
        <v/>
      </c>
    </row>
    <row r="955" spans="7:11" x14ac:dyDescent="0.25">
      <c r="G955" s="12" t="str">
        <f t="shared" si="42"/>
        <v/>
      </c>
      <c r="I955" s="12" t="str">
        <f t="shared" si="43"/>
        <v/>
      </c>
      <c r="J955" s="12" t="str">
        <f t="shared" si="44"/>
        <v/>
      </c>
      <c r="K955" s="12" t="str">
        <f>IFERROR((E955 - VLOOKUP(C955, 'Stock Entry'!B:E, 4, FALSE)) * D955, "")</f>
        <v/>
      </c>
    </row>
    <row r="956" spans="7:11" x14ac:dyDescent="0.25">
      <c r="G956" s="12" t="str">
        <f t="shared" si="42"/>
        <v/>
      </c>
      <c r="I956" s="12" t="str">
        <f t="shared" si="43"/>
        <v/>
      </c>
      <c r="J956" s="12" t="str">
        <f t="shared" si="44"/>
        <v/>
      </c>
      <c r="K956" s="12" t="str">
        <f>IFERROR((E956 - VLOOKUP(C956, 'Stock Entry'!B:E, 4, FALSE)) * D956, "")</f>
        <v/>
      </c>
    </row>
    <row r="957" spans="7:11" x14ac:dyDescent="0.25">
      <c r="G957" s="12" t="str">
        <f t="shared" si="42"/>
        <v/>
      </c>
      <c r="I957" s="12" t="str">
        <f t="shared" si="43"/>
        <v/>
      </c>
      <c r="J957" s="12" t="str">
        <f t="shared" si="44"/>
        <v/>
      </c>
      <c r="K957" s="12" t="str">
        <f>IFERROR((E957 - VLOOKUP(C957, 'Stock Entry'!B:E, 4, FALSE)) * D957, "")</f>
        <v/>
      </c>
    </row>
    <row r="958" spans="7:11" x14ac:dyDescent="0.25">
      <c r="G958" s="12" t="str">
        <f t="shared" si="42"/>
        <v/>
      </c>
      <c r="I958" s="12" t="str">
        <f t="shared" si="43"/>
        <v/>
      </c>
      <c r="J958" s="12" t="str">
        <f t="shared" si="44"/>
        <v/>
      </c>
      <c r="K958" s="12" t="str">
        <f>IFERROR((E958 - VLOOKUP(C958, 'Stock Entry'!B:E, 4, FALSE)) * D958, "")</f>
        <v/>
      </c>
    </row>
    <row r="959" spans="7:11" x14ac:dyDescent="0.25">
      <c r="G959" s="12" t="str">
        <f t="shared" si="42"/>
        <v/>
      </c>
      <c r="I959" s="12" t="str">
        <f t="shared" si="43"/>
        <v/>
      </c>
      <c r="J959" s="12" t="str">
        <f t="shared" si="44"/>
        <v/>
      </c>
      <c r="K959" s="12" t="str">
        <f>IFERROR((E959 - VLOOKUP(C959, 'Stock Entry'!B:E, 4, FALSE)) * D959, "")</f>
        <v/>
      </c>
    </row>
    <row r="960" spans="7:11" x14ac:dyDescent="0.25">
      <c r="G960" s="12" t="str">
        <f t="shared" si="42"/>
        <v/>
      </c>
      <c r="I960" s="12" t="str">
        <f t="shared" si="43"/>
        <v/>
      </c>
      <c r="J960" s="12" t="str">
        <f t="shared" si="44"/>
        <v/>
      </c>
      <c r="K960" s="12" t="str">
        <f>IFERROR((E960 - VLOOKUP(C960, 'Stock Entry'!B:E, 4, FALSE)) * D960, "")</f>
        <v/>
      </c>
    </row>
    <row r="961" spans="7:11" x14ac:dyDescent="0.25">
      <c r="G961" s="12" t="str">
        <f t="shared" si="42"/>
        <v/>
      </c>
      <c r="I961" s="12" t="str">
        <f t="shared" si="43"/>
        <v/>
      </c>
      <c r="J961" s="12" t="str">
        <f t="shared" si="44"/>
        <v/>
      </c>
      <c r="K961" s="12" t="str">
        <f>IFERROR((E961 - VLOOKUP(C961, 'Stock Entry'!B:E, 4, FALSE)) * D961, "")</f>
        <v/>
      </c>
    </row>
    <row r="962" spans="7:11" x14ac:dyDescent="0.25">
      <c r="G962" s="12" t="str">
        <f t="shared" si="42"/>
        <v/>
      </c>
      <c r="I962" s="12" t="str">
        <f t="shared" si="43"/>
        <v/>
      </c>
      <c r="J962" s="12" t="str">
        <f t="shared" si="44"/>
        <v/>
      </c>
      <c r="K962" s="12" t="str">
        <f>IFERROR((E962 - VLOOKUP(C962, 'Stock Entry'!B:E, 4, FALSE)) * D962, "")</f>
        <v/>
      </c>
    </row>
    <row r="963" spans="7:11" x14ac:dyDescent="0.25">
      <c r="G963" s="12" t="str">
        <f t="shared" ref="G963:G1026" si="45">IF(F963="Full Cash", D963*E963, "")</f>
        <v/>
      </c>
      <c r="I963" s="12" t="str">
        <f t="shared" ref="I963:I1026" si="46">IF(F963="Full Credit",D963*E963,IF(F963="Partly Payment",(D963*E963)-H963,""))</f>
        <v/>
      </c>
      <c r="J963" s="12" t="str">
        <f t="shared" ref="J963:J1026" si="47">IF(F963="Full Cash", G963, IF(F963="Full Credit", I963, IF(F963="Partly Payment", H963+I963, "")))</f>
        <v/>
      </c>
      <c r="K963" s="12" t="str">
        <f>IFERROR((E963 - VLOOKUP(C963, 'Stock Entry'!B:E, 4, FALSE)) * D963, "")</f>
        <v/>
      </c>
    </row>
    <row r="964" spans="7:11" x14ac:dyDescent="0.25">
      <c r="G964" s="12" t="str">
        <f t="shared" si="45"/>
        <v/>
      </c>
      <c r="I964" s="12" t="str">
        <f t="shared" si="46"/>
        <v/>
      </c>
      <c r="J964" s="12" t="str">
        <f t="shared" si="47"/>
        <v/>
      </c>
      <c r="K964" s="12" t="str">
        <f>IFERROR((E964 - VLOOKUP(C964, 'Stock Entry'!B:E, 4, FALSE)) * D964, "")</f>
        <v/>
      </c>
    </row>
    <row r="965" spans="7:11" x14ac:dyDescent="0.25">
      <c r="G965" s="12" t="str">
        <f t="shared" si="45"/>
        <v/>
      </c>
      <c r="I965" s="12" t="str">
        <f t="shared" si="46"/>
        <v/>
      </c>
      <c r="J965" s="12" t="str">
        <f t="shared" si="47"/>
        <v/>
      </c>
      <c r="K965" s="12" t="str">
        <f>IFERROR((E965 - VLOOKUP(C965, 'Stock Entry'!B:E, 4, FALSE)) * D965, "")</f>
        <v/>
      </c>
    </row>
    <row r="966" spans="7:11" x14ac:dyDescent="0.25">
      <c r="G966" s="12" t="str">
        <f t="shared" si="45"/>
        <v/>
      </c>
      <c r="I966" s="12" t="str">
        <f t="shared" si="46"/>
        <v/>
      </c>
      <c r="J966" s="12" t="str">
        <f t="shared" si="47"/>
        <v/>
      </c>
      <c r="K966" s="12" t="str">
        <f>IFERROR((E966 - VLOOKUP(C966, 'Stock Entry'!B:E, 4, FALSE)) * D966, "")</f>
        <v/>
      </c>
    </row>
    <row r="967" spans="7:11" x14ac:dyDescent="0.25">
      <c r="G967" s="12" t="str">
        <f t="shared" si="45"/>
        <v/>
      </c>
      <c r="I967" s="12" t="str">
        <f t="shared" si="46"/>
        <v/>
      </c>
      <c r="J967" s="12" t="str">
        <f t="shared" si="47"/>
        <v/>
      </c>
      <c r="K967" s="12" t="str">
        <f>IFERROR((E967 - VLOOKUP(C967, 'Stock Entry'!B:E, 4, FALSE)) * D967, "")</f>
        <v/>
      </c>
    </row>
    <row r="968" spans="7:11" x14ac:dyDescent="0.25">
      <c r="G968" s="12" t="str">
        <f t="shared" si="45"/>
        <v/>
      </c>
      <c r="I968" s="12" t="str">
        <f t="shared" si="46"/>
        <v/>
      </c>
      <c r="J968" s="12" t="str">
        <f t="shared" si="47"/>
        <v/>
      </c>
      <c r="K968" s="12" t="str">
        <f>IFERROR((E968 - VLOOKUP(C968, 'Stock Entry'!B:E, 4, FALSE)) * D968, "")</f>
        <v/>
      </c>
    </row>
    <row r="969" spans="7:11" x14ac:dyDescent="0.25">
      <c r="G969" s="12" t="str">
        <f t="shared" si="45"/>
        <v/>
      </c>
      <c r="I969" s="12" t="str">
        <f t="shared" si="46"/>
        <v/>
      </c>
      <c r="J969" s="12" t="str">
        <f t="shared" si="47"/>
        <v/>
      </c>
      <c r="K969" s="12" t="str">
        <f>IFERROR((E969 - VLOOKUP(C969, 'Stock Entry'!B:E, 4, FALSE)) * D969, "")</f>
        <v/>
      </c>
    </row>
    <row r="970" spans="7:11" x14ac:dyDescent="0.25">
      <c r="G970" s="12" t="str">
        <f t="shared" si="45"/>
        <v/>
      </c>
      <c r="I970" s="12" t="str">
        <f t="shared" si="46"/>
        <v/>
      </c>
      <c r="J970" s="12" t="str">
        <f t="shared" si="47"/>
        <v/>
      </c>
      <c r="K970" s="12" t="str">
        <f>IFERROR((E970 - VLOOKUP(C970, 'Stock Entry'!B:E, 4, FALSE)) * D970, "")</f>
        <v/>
      </c>
    </row>
    <row r="971" spans="7:11" x14ac:dyDescent="0.25">
      <c r="G971" s="12" t="str">
        <f t="shared" si="45"/>
        <v/>
      </c>
      <c r="I971" s="12" t="str">
        <f t="shared" si="46"/>
        <v/>
      </c>
      <c r="J971" s="12" t="str">
        <f t="shared" si="47"/>
        <v/>
      </c>
      <c r="K971" s="12" t="str">
        <f>IFERROR((E971 - VLOOKUP(C971, 'Stock Entry'!B:E, 4, FALSE)) * D971, "")</f>
        <v/>
      </c>
    </row>
    <row r="972" spans="7:11" x14ac:dyDescent="0.25">
      <c r="G972" s="12" t="str">
        <f t="shared" si="45"/>
        <v/>
      </c>
      <c r="I972" s="12" t="str">
        <f t="shared" si="46"/>
        <v/>
      </c>
      <c r="J972" s="12" t="str">
        <f t="shared" si="47"/>
        <v/>
      </c>
      <c r="K972" s="12" t="str">
        <f>IFERROR((E972 - VLOOKUP(C972, 'Stock Entry'!B:E, 4, FALSE)) * D972, "")</f>
        <v/>
      </c>
    </row>
    <row r="973" spans="7:11" x14ac:dyDescent="0.25">
      <c r="G973" s="12" t="str">
        <f t="shared" si="45"/>
        <v/>
      </c>
      <c r="I973" s="12" t="str">
        <f t="shared" si="46"/>
        <v/>
      </c>
      <c r="J973" s="12" t="str">
        <f t="shared" si="47"/>
        <v/>
      </c>
      <c r="K973" s="12" t="str">
        <f>IFERROR((E973 - VLOOKUP(C973, 'Stock Entry'!B:E, 4, FALSE)) * D973, "")</f>
        <v/>
      </c>
    </row>
    <row r="974" spans="7:11" x14ac:dyDescent="0.25">
      <c r="G974" s="12" t="str">
        <f t="shared" si="45"/>
        <v/>
      </c>
      <c r="I974" s="12" t="str">
        <f t="shared" si="46"/>
        <v/>
      </c>
      <c r="J974" s="12" t="str">
        <f t="shared" si="47"/>
        <v/>
      </c>
      <c r="K974" s="12" t="str">
        <f>IFERROR((E974 - VLOOKUP(C974, 'Stock Entry'!B:E, 4, FALSE)) * D974, "")</f>
        <v/>
      </c>
    </row>
    <row r="975" spans="7:11" x14ac:dyDescent="0.25">
      <c r="G975" s="12" t="str">
        <f t="shared" si="45"/>
        <v/>
      </c>
      <c r="I975" s="12" t="str">
        <f t="shared" si="46"/>
        <v/>
      </c>
      <c r="J975" s="12" t="str">
        <f t="shared" si="47"/>
        <v/>
      </c>
      <c r="K975" s="12" t="str">
        <f>IFERROR((E975 - VLOOKUP(C975, 'Stock Entry'!B:E, 4, FALSE)) * D975, "")</f>
        <v/>
      </c>
    </row>
    <row r="976" spans="7:11" x14ac:dyDescent="0.25">
      <c r="G976" s="12" t="str">
        <f t="shared" si="45"/>
        <v/>
      </c>
      <c r="I976" s="12" t="str">
        <f t="shared" si="46"/>
        <v/>
      </c>
      <c r="J976" s="12" t="str">
        <f t="shared" si="47"/>
        <v/>
      </c>
      <c r="K976" s="12" t="str">
        <f>IFERROR((E976 - VLOOKUP(C976, 'Stock Entry'!B:E, 4, FALSE)) * D976, "")</f>
        <v/>
      </c>
    </row>
    <row r="977" spans="7:11" x14ac:dyDescent="0.25">
      <c r="G977" s="12" t="str">
        <f t="shared" si="45"/>
        <v/>
      </c>
      <c r="I977" s="12" t="str">
        <f t="shared" si="46"/>
        <v/>
      </c>
      <c r="J977" s="12" t="str">
        <f t="shared" si="47"/>
        <v/>
      </c>
      <c r="K977" s="12" t="str">
        <f>IFERROR((E977 - VLOOKUP(C977, 'Stock Entry'!B:E, 4, FALSE)) * D977, "")</f>
        <v/>
      </c>
    </row>
    <row r="978" spans="7:11" x14ac:dyDescent="0.25">
      <c r="G978" s="12" t="str">
        <f t="shared" si="45"/>
        <v/>
      </c>
      <c r="I978" s="12" t="str">
        <f t="shared" si="46"/>
        <v/>
      </c>
      <c r="J978" s="12" t="str">
        <f t="shared" si="47"/>
        <v/>
      </c>
      <c r="K978" s="12" t="str">
        <f>IFERROR((E978 - VLOOKUP(C978, 'Stock Entry'!B:E, 4, FALSE)) * D978, "")</f>
        <v/>
      </c>
    </row>
    <row r="979" spans="7:11" x14ac:dyDescent="0.25">
      <c r="G979" s="12" t="str">
        <f t="shared" si="45"/>
        <v/>
      </c>
      <c r="I979" s="12" t="str">
        <f t="shared" si="46"/>
        <v/>
      </c>
      <c r="J979" s="12" t="str">
        <f t="shared" si="47"/>
        <v/>
      </c>
      <c r="K979" s="12" t="str">
        <f>IFERROR((E979 - VLOOKUP(C979, 'Stock Entry'!B:E, 4, FALSE)) * D979, "")</f>
        <v/>
      </c>
    </row>
    <row r="980" spans="7:11" x14ac:dyDescent="0.25">
      <c r="G980" s="12" t="str">
        <f t="shared" si="45"/>
        <v/>
      </c>
      <c r="I980" s="12" t="str">
        <f t="shared" si="46"/>
        <v/>
      </c>
      <c r="J980" s="12" t="str">
        <f t="shared" si="47"/>
        <v/>
      </c>
      <c r="K980" s="12" t="str">
        <f>IFERROR((E980 - VLOOKUP(C980, 'Stock Entry'!B:E, 4, FALSE)) * D980, "")</f>
        <v/>
      </c>
    </row>
    <row r="981" spans="7:11" x14ac:dyDescent="0.25">
      <c r="G981" s="12" t="str">
        <f t="shared" si="45"/>
        <v/>
      </c>
      <c r="I981" s="12" t="str">
        <f t="shared" si="46"/>
        <v/>
      </c>
      <c r="J981" s="12" t="str">
        <f t="shared" si="47"/>
        <v/>
      </c>
      <c r="K981" s="12" t="str">
        <f>IFERROR((E981 - VLOOKUP(C981, 'Stock Entry'!B:E, 4, FALSE)) * D981, "")</f>
        <v/>
      </c>
    </row>
    <row r="982" spans="7:11" x14ac:dyDescent="0.25">
      <c r="G982" s="12" t="str">
        <f t="shared" si="45"/>
        <v/>
      </c>
      <c r="I982" s="12" t="str">
        <f t="shared" si="46"/>
        <v/>
      </c>
      <c r="J982" s="12" t="str">
        <f t="shared" si="47"/>
        <v/>
      </c>
      <c r="K982" s="12" t="str">
        <f>IFERROR((E982 - VLOOKUP(C982, 'Stock Entry'!B:E, 4, FALSE)) * D982, "")</f>
        <v/>
      </c>
    </row>
    <row r="983" spans="7:11" x14ac:dyDescent="0.25">
      <c r="G983" s="12" t="str">
        <f t="shared" si="45"/>
        <v/>
      </c>
      <c r="I983" s="12" t="str">
        <f t="shared" si="46"/>
        <v/>
      </c>
      <c r="J983" s="12" t="str">
        <f t="shared" si="47"/>
        <v/>
      </c>
      <c r="K983" s="12" t="str">
        <f>IFERROR((E983 - VLOOKUP(C983, 'Stock Entry'!B:E, 4, FALSE)) * D983, "")</f>
        <v/>
      </c>
    </row>
    <row r="984" spans="7:11" x14ac:dyDescent="0.25">
      <c r="G984" s="12" t="str">
        <f t="shared" si="45"/>
        <v/>
      </c>
      <c r="I984" s="12" t="str">
        <f t="shared" si="46"/>
        <v/>
      </c>
      <c r="J984" s="12" t="str">
        <f t="shared" si="47"/>
        <v/>
      </c>
      <c r="K984" s="12" t="str">
        <f>IFERROR((E984 - VLOOKUP(C984, 'Stock Entry'!B:E, 4, FALSE)) * D984, "")</f>
        <v/>
      </c>
    </row>
    <row r="985" spans="7:11" x14ac:dyDescent="0.25">
      <c r="G985" s="12" t="str">
        <f t="shared" si="45"/>
        <v/>
      </c>
      <c r="I985" s="12" t="str">
        <f t="shared" si="46"/>
        <v/>
      </c>
      <c r="J985" s="12" t="str">
        <f t="shared" si="47"/>
        <v/>
      </c>
      <c r="K985" s="12" t="str">
        <f>IFERROR((E985 - VLOOKUP(C985, 'Stock Entry'!B:E, 4, FALSE)) * D985, "")</f>
        <v/>
      </c>
    </row>
    <row r="986" spans="7:11" x14ac:dyDescent="0.25">
      <c r="G986" s="12" t="str">
        <f t="shared" si="45"/>
        <v/>
      </c>
      <c r="I986" s="12" t="str">
        <f t="shared" si="46"/>
        <v/>
      </c>
      <c r="J986" s="12" t="str">
        <f t="shared" si="47"/>
        <v/>
      </c>
      <c r="K986" s="12" t="str">
        <f>IFERROR((E986 - VLOOKUP(C986, 'Stock Entry'!B:E, 4, FALSE)) * D986, "")</f>
        <v/>
      </c>
    </row>
    <row r="987" spans="7:11" x14ac:dyDescent="0.25">
      <c r="G987" s="12" t="str">
        <f t="shared" si="45"/>
        <v/>
      </c>
      <c r="I987" s="12" t="str">
        <f t="shared" si="46"/>
        <v/>
      </c>
      <c r="J987" s="12" t="str">
        <f t="shared" si="47"/>
        <v/>
      </c>
      <c r="K987" s="12" t="str">
        <f>IFERROR((E987 - VLOOKUP(C987, 'Stock Entry'!B:E, 4, FALSE)) * D987, "")</f>
        <v/>
      </c>
    </row>
    <row r="988" spans="7:11" x14ac:dyDescent="0.25">
      <c r="G988" s="12" t="str">
        <f t="shared" si="45"/>
        <v/>
      </c>
      <c r="I988" s="12" t="str">
        <f t="shared" si="46"/>
        <v/>
      </c>
      <c r="J988" s="12" t="str">
        <f t="shared" si="47"/>
        <v/>
      </c>
      <c r="K988" s="12" t="str">
        <f>IFERROR((E988 - VLOOKUP(C988, 'Stock Entry'!B:E, 4, FALSE)) * D988, "")</f>
        <v/>
      </c>
    </row>
    <row r="989" spans="7:11" x14ac:dyDescent="0.25">
      <c r="G989" s="12" t="str">
        <f t="shared" si="45"/>
        <v/>
      </c>
      <c r="I989" s="12" t="str">
        <f t="shared" si="46"/>
        <v/>
      </c>
      <c r="J989" s="12" t="str">
        <f t="shared" si="47"/>
        <v/>
      </c>
      <c r="K989" s="12" t="str">
        <f>IFERROR((E989 - VLOOKUP(C989, 'Stock Entry'!B:E, 4, FALSE)) * D989, "")</f>
        <v/>
      </c>
    </row>
    <row r="990" spans="7:11" x14ac:dyDescent="0.25">
      <c r="G990" s="12" t="str">
        <f t="shared" si="45"/>
        <v/>
      </c>
      <c r="I990" s="12" t="str">
        <f t="shared" si="46"/>
        <v/>
      </c>
      <c r="J990" s="12" t="str">
        <f t="shared" si="47"/>
        <v/>
      </c>
      <c r="K990" s="12" t="str">
        <f>IFERROR((E990 - VLOOKUP(C990, 'Stock Entry'!B:E, 4, FALSE)) * D990, "")</f>
        <v/>
      </c>
    </row>
    <row r="991" spans="7:11" x14ac:dyDescent="0.25">
      <c r="G991" s="12" t="str">
        <f t="shared" si="45"/>
        <v/>
      </c>
      <c r="I991" s="12" t="str">
        <f t="shared" si="46"/>
        <v/>
      </c>
      <c r="J991" s="12" t="str">
        <f t="shared" si="47"/>
        <v/>
      </c>
      <c r="K991" s="12" t="str">
        <f>IFERROR((E991 - VLOOKUP(C991, 'Stock Entry'!B:E, 4, FALSE)) * D991, "")</f>
        <v/>
      </c>
    </row>
    <row r="992" spans="7:11" x14ac:dyDescent="0.25">
      <c r="G992" s="12" t="str">
        <f t="shared" si="45"/>
        <v/>
      </c>
      <c r="I992" s="12" t="str">
        <f t="shared" si="46"/>
        <v/>
      </c>
      <c r="J992" s="12" t="str">
        <f t="shared" si="47"/>
        <v/>
      </c>
      <c r="K992" s="12" t="str">
        <f>IFERROR((E992 - VLOOKUP(C992, 'Stock Entry'!B:E, 4, FALSE)) * D992, "")</f>
        <v/>
      </c>
    </row>
    <row r="993" spans="7:11" x14ac:dyDescent="0.25">
      <c r="G993" s="12" t="str">
        <f t="shared" si="45"/>
        <v/>
      </c>
      <c r="I993" s="12" t="str">
        <f t="shared" si="46"/>
        <v/>
      </c>
      <c r="J993" s="12" t="str">
        <f t="shared" si="47"/>
        <v/>
      </c>
      <c r="K993" s="12" t="str">
        <f>IFERROR((E993 - VLOOKUP(C993, 'Stock Entry'!B:E, 4, FALSE)) * D993, "")</f>
        <v/>
      </c>
    </row>
    <row r="994" spans="7:11" x14ac:dyDescent="0.25">
      <c r="G994" s="12" t="str">
        <f t="shared" si="45"/>
        <v/>
      </c>
      <c r="I994" s="12" t="str">
        <f t="shared" si="46"/>
        <v/>
      </c>
      <c r="J994" s="12" t="str">
        <f t="shared" si="47"/>
        <v/>
      </c>
      <c r="K994" s="12" t="str">
        <f>IFERROR((E994 - VLOOKUP(C994, 'Stock Entry'!B:E, 4, FALSE)) * D994, "")</f>
        <v/>
      </c>
    </row>
    <row r="995" spans="7:11" x14ac:dyDescent="0.25">
      <c r="G995" s="12" t="str">
        <f t="shared" si="45"/>
        <v/>
      </c>
      <c r="I995" s="12" t="str">
        <f t="shared" si="46"/>
        <v/>
      </c>
      <c r="J995" s="12" t="str">
        <f t="shared" si="47"/>
        <v/>
      </c>
      <c r="K995" s="12" t="str">
        <f>IFERROR((E995 - VLOOKUP(C995, 'Stock Entry'!B:E, 4, FALSE)) * D995, "")</f>
        <v/>
      </c>
    </row>
    <row r="996" spans="7:11" x14ac:dyDescent="0.25">
      <c r="G996" s="12" t="str">
        <f t="shared" si="45"/>
        <v/>
      </c>
      <c r="I996" s="12" t="str">
        <f t="shared" si="46"/>
        <v/>
      </c>
      <c r="J996" s="12" t="str">
        <f t="shared" si="47"/>
        <v/>
      </c>
      <c r="K996" s="12" t="str">
        <f>IFERROR((E996 - VLOOKUP(C996, 'Stock Entry'!B:E, 4, FALSE)) * D996, "")</f>
        <v/>
      </c>
    </row>
    <row r="997" spans="7:11" x14ac:dyDescent="0.25">
      <c r="G997" s="12" t="str">
        <f t="shared" si="45"/>
        <v/>
      </c>
      <c r="I997" s="12" t="str">
        <f t="shared" si="46"/>
        <v/>
      </c>
      <c r="J997" s="12" t="str">
        <f t="shared" si="47"/>
        <v/>
      </c>
      <c r="K997" s="12" t="str">
        <f>IFERROR((E997 - VLOOKUP(C997, 'Stock Entry'!B:E, 4, FALSE)) * D997, "")</f>
        <v/>
      </c>
    </row>
    <row r="998" spans="7:11" x14ac:dyDescent="0.25">
      <c r="G998" s="12" t="str">
        <f t="shared" si="45"/>
        <v/>
      </c>
      <c r="I998" s="12" t="str">
        <f t="shared" si="46"/>
        <v/>
      </c>
      <c r="J998" s="12" t="str">
        <f t="shared" si="47"/>
        <v/>
      </c>
      <c r="K998" s="12" t="str">
        <f>IFERROR((E998 - VLOOKUP(C998, 'Stock Entry'!B:E, 4, FALSE)) * D998, "")</f>
        <v/>
      </c>
    </row>
    <row r="999" spans="7:11" x14ac:dyDescent="0.25">
      <c r="G999" s="12" t="str">
        <f t="shared" si="45"/>
        <v/>
      </c>
      <c r="I999" s="12" t="str">
        <f t="shared" si="46"/>
        <v/>
      </c>
      <c r="J999" s="12" t="str">
        <f t="shared" si="47"/>
        <v/>
      </c>
      <c r="K999" s="12" t="str">
        <f>IFERROR((E999 - VLOOKUP(C999, 'Stock Entry'!B:E, 4, FALSE)) * D999, "")</f>
        <v/>
      </c>
    </row>
    <row r="1000" spans="7:11" x14ac:dyDescent="0.25">
      <c r="G1000" s="12" t="str">
        <f t="shared" si="45"/>
        <v/>
      </c>
      <c r="I1000" s="12" t="str">
        <f t="shared" si="46"/>
        <v/>
      </c>
      <c r="J1000" s="12" t="str">
        <f t="shared" si="47"/>
        <v/>
      </c>
      <c r="K1000" s="12" t="str">
        <f>IFERROR((E1000 - VLOOKUP(C1000, 'Stock Entry'!B:E, 4, FALSE)) * D1000, "")</f>
        <v/>
      </c>
    </row>
    <row r="1001" spans="7:11" x14ac:dyDescent="0.25">
      <c r="G1001" s="12" t="str">
        <f t="shared" si="45"/>
        <v/>
      </c>
      <c r="I1001" s="12" t="str">
        <f t="shared" si="46"/>
        <v/>
      </c>
      <c r="J1001" s="12" t="str">
        <f t="shared" si="47"/>
        <v/>
      </c>
      <c r="K1001" s="12" t="str">
        <f>IFERROR((E1001 - VLOOKUP(C1001, 'Stock Entry'!B:E, 4, FALSE)) * D1001, "")</f>
        <v/>
      </c>
    </row>
    <row r="1002" spans="7:11" x14ac:dyDescent="0.25">
      <c r="G1002" s="12" t="str">
        <f t="shared" si="45"/>
        <v/>
      </c>
      <c r="I1002" s="12" t="str">
        <f t="shared" si="46"/>
        <v/>
      </c>
      <c r="J1002" s="12" t="str">
        <f t="shared" si="47"/>
        <v/>
      </c>
      <c r="K1002" s="12" t="str">
        <f>IFERROR((E1002 - VLOOKUP(C1002, 'Stock Entry'!B:E, 4, FALSE)) * D1002, "")</f>
        <v/>
      </c>
    </row>
    <row r="1003" spans="7:11" x14ac:dyDescent="0.25">
      <c r="G1003" s="12" t="str">
        <f t="shared" si="45"/>
        <v/>
      </c>
      <c r="I1003" s="12" t="str">
        <f t="shared" si="46"/>
        <v/>
      </c>
      <c r="J1003" s="12" t="str">
        <f t="shared" si="47"/>
        <v/>
      </c>
      <c r="K1003" s="12" t="str">
        <f>IFERROR((E1003 - VLOOKUP(C1003, 'Stock Entry'!B:E, 4, FALSE)) * D1003, "")</f>
        <v/>
      </c>
    </row>
    <row r="1004" spans="7:11" x14ac:dyDescent="0.25">
      <c r="G1004" s="12" t="str">
        <f t="shared" si="45"/>
        <v/>
      </c>
      <c r="I1004" s="12" t="str">
        <f t="shared" si="46"/>
        <v/>
      </c>
      <c r="J1004" s="12" t="str">
        <f t="shared" si="47"/>
        <v/>
      </c>
      <c r="K1004" s="12" t="str">
        <f>IFERROR((E1004 - VLOOKUP(C1004, 'Stock Entry'!B:E, 4, FALSE)) * D1004, "")</f>
        <v/>
      </c>
    </row>
    <row r="1005" spans="7:11" x14ac:dyDescent="0.25">
      <c r="G1005" s="12" t="str">
        <f t="shared" si="45"/>
        <v/>
      </c>
      <c r="I1005" s="12" t="str">
        <f t="shared" si="46"/>
        <v/>
      </c>
      <c r="J1005" s="12" t="str">
        <f t="shared" si="47"/>
        <v/>
      </c>
      <c r="K1005" s="12" t="str">
        <f>IFERROR((E1005 - VLOOKUP(C1005, 'Stock Entry'!B:E, 4, FALSE)) * D1005, "")</f>
        <v/>
      </c>
    </row>
    <row r="1006" spans="7:11" x14ac:dyDescent="0.25">
      <c r="G1006" s="12" t="str">
        <f t="shared" si="45"/>
        <v/>
      </c>
      <c r="I1006" s="12" t="str">
        <f t="shared" si="46"/>
        <v/>
      </c>
      <c r="J1006" s="12" t="str">
        <f t="shared" si="47"/>
        <v/>
      </c>
      <c r="K1006" s="12" t="str">
        <f>IFERROR((E1006 - VLOOKUP(C1006, 'Stock Entry'!B:E, 4, FALSE)) * D1006, "")</f>
        <v/>
      </c>
    </row>
    <row r="1007" spans="7:11" x14ac:dyDescent="0.25">
      <c r="G1007" s="12" t="str">
        <f t="shared" si="45"/>
        <v/>
      </c>
      <c r="I1007" s="12" t="str">
        <f t="shared" si="46"/>
        <v/>
      </c>
      <c r="J1007" s="12" t="str">
        <f t="shared" si="47"/>
        <v/>
      </c>
      <c r="K1007" s="12" t="str">
        <f>IFERROR((E1007 - VLOOKUP(C1007, 'Stock Entry'!B:E, 4, FALSE)) * D1007, "")</f>
        <v/>
      </c>
    </row>
    <row r="1008" spans="7:11" x14ac:dyDescent="0.25">
      <c r="G1008" s="12" t="str">
        <f t="shared" si="45"/>
        <v/>
      </c>
      <c r="I1008" s="12" t="str">
        <f t="shared" si="46"/>
        <v/>
      </c>
      <c r="J1008" s="12" t="str">
        <f t="shared" si="47"/>
        <v/>
      </c>
      <c r="K1008" s="12" t="str">
        <f>IFERROR((E1008 - VLOOKUP(C1008, 'Stock Entry'!B:E, 4, FALSE)) * D1008, "")</f>
        <v/>
      </c>
    </row>
    <row r="1009" spans="7:11" x14ac:dyDescent="0.25">
      <c r="G1009" s="12" t="str">
        <f t="shared" si="45"/>
        <v/>
      </c>
      <c r="I1009" s="12" t="str">
        <f t="shared" si="46"/>
        <v/>
      </c>
      <c r="J1009" s="12" t="str">
        <f t="shared" si="47"/>
        <v/>
      </c>
      <c r="K1009" s="12" t="str">
        <f>IFERROR((E1009 - VLOOKUP(C1009, 'Stock Entry'!B:E, 4, FALSE)) * D1009, "")</f>
        <v/>
      </c>
    </row>
    <row r="1010" spans="7:11" x14ac:dyDescent="0.25">
      <c r="G1010" s="12" t="str">
        <f t="shared" si="45"/>
        <v/>
      </c>
      <c r="I1010" s="12" t="str">
        <f t="shared" si="46"/>
        <v/>
      </c>
      <c r="J1010" s="12" t="str">
        <f t="shared" si="47"/>
        <v/>
      </c>
      <c r="K1010" s="12" t="str">
        <f>IFERROR((E1010 - VLOOKUP(C1010, 'Stock Entry'!B:E, 4, FALSE)) * D1010, "")</f>
        <v/>
      </c>
    </row>
    <row r="1011" spans="7:11" x14ac:dyDescent="0.25">
      <c r="G1011" s="12" t="str">
        <f t="shared" si="45"/>
        <v/>
      </c>
      <c r="I1011" s="12" t="str">
        <f t="shared" si="46"/>
        <v/>
      </c>
      <c r="J1011" s="12" t="str">
        <f t="shared" si="47"/>
        <v/>
      </c>
      <c r="K1011" s="12" t="str">
        <f>IFERROR((E1011 - VLOOKUP(C1011, 'Stock Entry'!B:E, 4, FALSE)) * D1011, "")</f>
        <v/>
      </c>
    </row>
    <row r="1012" spans="7:11" x14ac:dyDescent="0.25">
      <c r="G1012" s="12" t="str">
        <f t="shared" si="45"/>
        <v/>
      </c>
      <c r="I1012" s="12" t="str">
        <f t="shared" si="46"/>
        <v/>
      </c>
      <c r="J1012" s="12" t="str">
        <f t="shared" si="47"/>
        <v/>
      </c>
      <c r="K1012" s="12" t="str">
        <f>IFERROR((E1012 - VLOOKUP(C1012, 'Stock Entry'!B:E, 4, FALSE)) * D1012, "")</f>
        <v/>
      </c>
    </row>
    <row r="1013" spans="7:11" x14ac:dyDescent="0.25">
      <c r="G1013" s="12" t="str">
        <f t="shared" si="45"/>
        <v/>
      </c>
      <c r="I1013" s="12" t="str">
        <f t="shared" si="46"/>
        <v/>
      </c>
      <c r="J1013" s="12" t="str">
        <f t="shared" si="47"/>
        <v/>
      </c>
      <c r="K1013" s="12" t="str">
        <f>IFERROR((E1013 - VLOOKUP(C1013, 'Stock Entry'!B:E, 4, FALSE)) * D1013, "")</f>
        <v/>
      </c>
    </row>
    <row r="1014" spans="7:11" x14ac:dyDescent="0.25">
      <c r="G1014" s="12" t="str">
        <f t="shared" si="45"/>
        <v/>
      </c>
      <c r="I1014" s="12" t="str">
        <f t="shared" si="46"/>
        <v/>
      </c>
      <c r="J1014" s="12" t="str">
        <f t="shared" si="47"/>
        <v/>
      </c>
      <c r="K1014" s="12" t="str">
        <f>IFERROR((E1014 - VLOOKUP(C1014, 'Stock Entry'!B:E, 4, FALSE)) * D1014, "")</f>
        <v/>
      </c>
    </row>
    <row r="1015" spans="7:11" x14ac:dyDescent="0.25">
      <c r="G1015" s="12" t="str">
        <f t="shared" si="45"/>
        <v/>
      </c>
      <c r="I1015" s="12" t="str">
        <f t="shared" si="46"/>
        <v/>
      </c>
      <c r="J1015" s="12" t="str">
        <f t="shared" si="47"/>
        <v/>
      </c>
      <c r="K1015" s="12" t="str">
        <f>IFERROR((E1015 - VLOOKUP(C1015, 'Stock Entry'!B:E, 4, FALSE)) * D1015, "")</f>
        <v/>
      </c>
    </row>
    <row r="1016" spans="7:11" x14ac:dyDescent="0.25">
      <c r="G1016" s="12" t="str">
        <f t="shared" si="45"/>
        <v/>
      </c>
      <c r="I1016" s="12" t="str">
        <f t="shared" si="46"/>
        <v/>
      </c>
      <c r="J1016" s="12" t="str">
        <f t="shared" si="47"/>
        <v/>
      </c>
      <c r="K1016" s="12" t="str">
        <f>IFERROR((E1016 - VLOOKUP(C1016, 'Stock Entry'!B:E, 4, FALSE)) * D1016, "")</f>
        <v/>
      </c>
    </row>
    <row r="1017" spans="7:11" x14ac:dyDescent="0.25">
      <c r="G1017" s="12" t="str">
        <f t="shared" si="45"/>
        <v/>
      </c>
      <c r="I1017" s="12" t="str">
        <f t="shared" si="46"/>
        <v/>
      </c>
      <c r="J1017" s="12" t="str">
        <f t="shared" si="47"/>
        <v/>
      </c>
      <c r="K1017" s="12" t="str">
        <f>IFERROR((E1017 - VLOOKUP(C1017, 'Stock Entry'!B:E, 4, FALSE)) * D1017, "")</f>
        <v/>
      </c>
    </row>
    <row r="1018" spans="7:11" x14ac:dyDescent="0.25">
      <c r="G1018" s="12" t="str">
        <f t="shared" si="45"/>
        <v/>
      </c>
      <c r="I1018" s="12" t="str">
        <f t="shared" si="46"/>
        <v/>
      </c>
      <c r="J1018" s="12" t="str">
        <f t="shared" si="47"/>
        <v/>
      </c>
      <c r="K1018" s="12" t="str">
        <f>IFERROR((E1018 - VLOOKUP(C1018, 'Stock Entry'!B:E, 4, FALSE)) * D1018, "")</f>
        <v/>
      </c>
    </row>
    <row r="1019" spans="7:11" x14ac:dyDescent="0.25">
      <c r="G1019" s="12" t="str">
        <f t="shared" si="45"/>
        <v/>
      </c>
      <c r="I1019" s="12" t="str">
        <f t="shared" si="46"/>
        <v/>
      </c>
      <c r="J1019" s="12" t="str">
        <f t="shared" si="47"/>
        <v/>
      </c>
      <c r="K1019" s="12" t="str">
        <f>IFERROR((E1019 - VLOOKUP(C1019, 'Stock Entry'!B:E, 4, FALSE)) * D1019, "")</f>
        <v/>
      </c>
    </row>
    <row r="1020" spans="7:11" x14ac:dyDescent="0.25">
      <c r="G1020" s="12" t="str">
        <f t="shared" si="45"/>
        <v/>
      </c>
      <c r="I1020" s="12" t="str">
        <f t="shared" si="46"/>
        <v/>
      </c>
      <c r="J1020" s="12" t="str">
        <f t="shared" si="47"/>
        <v/>
      </c>
      <c r="K1020" s="12" t="str">
        <f>IFERROR((E1020 - VLOOKUP(C1020, 'Stock Entry'!B:E, 4, FALSE)) * D1020, "")</f>
        <v/>
      </c>
    </row>
    <row r="1021" spans="7:11" x14ac:dyDescent="0.25">
      <c r="G1021" s="12" t="str">
        <f t="shared" si="45"/>
        <v/>
      </c>
      <c r="I1021" s="12" t="str">
        <f t="shared" si="46"/>
        <v/>
      </c>
      <c r="J1021" s="12" t="str">
        <f t="shared" si="47"/>
        <v/>
      </c>
      <c r="K1021" s="12" t="str">
        <f>IFERROR((E1021 - VLOOKUP(C1021, 'Stock Entry'!B:E, 4, FALSE)) * D1021, "")</f>
        <v/>
      </c>
    </row>
    <row r="1022" spans="7:11" x14ac:dyDescent="0.25">
      <c r="G1022" s="12" t="str">
        <f t="shared" si="45"/>
        <v/>
      </c>
      <c r="I1022" s="12" t="str">
        <f t="shared" si="46"/>
        <v/>
      </c>
      <c r="J1022" s="12" t="str">
        <f t="shared" si="47"/>
        <v/>
      </c>
      <c r="K1022" s="12" t="str">
        <f>IFERROR((E1022 - VLOOKUP(C1022, 'Stock Entry'!B:E, 4, FALSE)) * D1022, "")</f>
        <v/>
      </c>
    </row>
    <row r="1023" spans="7:11" x14ac:dyDescent="0.25">
      <c r="G1023" s="12" t="str">
        <f t="shared" si="45"/>
        <v/>
      </c>
      <c r="I1023" s="12" t="str">
        <f t="shared" si="46"/>
        <v/>
      </c>
      <c r="J1023" s="12" t="str">
        <f t="shared" si="47"/>
        <v/>
      </c>
      <c r="K1023" s="12" t="str">
        <f>IFERROR((E1023 - VLOOKUP(C1023, 'Stock Entry'!B:E, 4, FALSE)) * D1023, "")</f>
        <v/>
      </c>
    </row>
    <row r="1024" spans="7:11" x14ac:dyDescent="0.25">
      <c r="G1024" s="12" t="str">
        <f t="shared" si="45"/>
        <v/>
      </c>
      <c r="I1024" s="12" t="str">
        <f t="shared" si="46"/>
        <v/>
      </c>
      <c r="J1024" s="12" t="str">
        <f t="shared" si="47"/>
        <v/>
      </c>
      <c r="K1024" s="12" t="str">
        <f>IFERROR((E1024 - VLOOKUP(C1024, 'Stock Entry'!B:E, 4, FALSE)) * D1024, "")</f>
        <v/>
      </c>
    </row>
    <row r="1025" spans="7:11" x14ac:dyDescent="0.25">
      <c r="G1025" s="12" t="str">
        <f t="shared" si="45"/>
        <v/>
      </c>
      <c r="I1025" s="12" t="str">
        <f t="shared" si="46"/>
        <v/>
      </c>
      <c r="J1025" s="12" t="str">
        <f t="shared" si="47"/>
        <v/>
      </c>
      <c r="K1025" s="12" t="str">
        <f>IFERROR((E1025 - VLOOKUP(C1025, 'Stock Entry'!B:E, 4, FALSE)) * D1025, "")</f>
        <v/>
      </c>
    </row>
    <row r="1026" spans="7:11" x14ac:dyDescent="0.25">
      <c r="G1026" s="12" t="str">
        <f t="shared" si="45"/>
        <v/>
      </c>
      <c r="I1026" s="12" t="str">
        <f t="shared" si="46"/>
        <v/>
      </c>
      <c r="J1026" s="12" t="str">
        <f t="shared" si="47"/>
        <v/>
      </c>
      <c r="K1026" s="12" t="str">
        <f>IFERROR((E1026 - VLOOKUP(C1026, 'Stock Entry'!B:E, 4, FALSE)) * D1026, "")</f>
        <v/>
      </c>
    </row>
    <row r="1027" spans="7:11" x14ac:dyDescent="0.25">
      <c r="G1027" s="12" t="str">
        <f t="shared" ref="G1027:G1090" si="48">IF(F1027="Full Cash", D1027*E1027, "")</f>
        <v/>
      </c>
      <c r="I1027" s="12" t="str">
        <f t="shared" ref="I1027:I1090" si="49">IF(F1027="Full Credit",D1027*E1027,IF(F1027="Partly Payment",(D1027*E1027)-H1027,""))</f>
        <v/>
      </c>
      <c r="J1027" s="12" t="str">
        <f t="shared" ref="J1027:J1090" si="50">IF(F1027="Full Cash", G1027, IF(F1027="Full Credit", I1027, IF(F1027="Partly Payment", H1027+I1027, "")))</f>
        <v/>
      </c>
      <c r="K1027" s="12" t="str">
        <f>IFERROR((E1027 - VLOOKUP(C1027, 'Stock Entry'!B:E, 4, FALSE)) * D1027, "")</f>
        <v/>
      </c>
    </row>
    <row r="1028" spans="7:11" x14ac:dyDescent="0.25">
      <c r="G1028" s="12" t="str">
        <f t="shared" si="48"/>
        <v/>
      </c>
      <c r="I1028" s="12" t="str">
        <f t="shared" si="49"/>
        <v/>
      </c>
      <c r="J1028" s="12" t="str">
        <f t="shared" si="50"/>
        <v/>
      </c>
      <c r="K1028" s="12" t="str">
        <f>IFERROR((E1028 - VLOOKUP(C1028, 'Stock Entry'!B:E, 4, FALSE)) * D1028, "")</f>
        <v/>
      </c>
    </row>
    <row r="1029" spans="7:11" x14ac:dyDescent="0.25">
      <c r="G1029" s="12" t="str">
        <f t="shared" si="48"/>
        <v/>
      </c>
      <c r="I1029" s="12" t="str">
        <f t="shared" si="49"/>
        <v/>
      </c>
      <c r="J1029" s="12" t="str">
        <f t="shared" si="50"/>
        <v/>
      </c>
      <c r="K1029" s="12" t="str">
        <f>IFERROR((E1029 - VLOOKUP(C1029, 'Stock Entry'!B:E, 4, FALSE)) * D1029, "")</f>
        <v/>
      </c>
    </row>
    <row r="1030" spans="7:11" x14ac:dyDescent="0.25">
      <c r="G1030" s="12" t="str">
        <f t="shared" si="48"/>
        <v/>
      </c>
      <c r="I1030" s="12" t="str">
        <f t="shared" si="49"/>
        <v/>
      </c>
      <c r="J1030" s="12" t="str">
        <f t="shared" si="50"/>
        <v/>
      </c>
      <c r="K1030" s="12" t="str">
        <f>IFERROR((E1030 - VLOOKUP(C1030, 'Stock Entry'!B:E, 4, FALSE)) * D1030, "")</f>
        <v/>
      </c>
    </row>
    <row r="1031" spans="7:11" x14ac:dyDescent="0.25">
      <c r="G1031" s="12" t="str">
        <f t="shared" si="48"/>
        <v/>
      </c>
      <c r="I1031" s="12" t="str">
        <f t="shared" si="49"/>
        <v/>
      </c>
      <c r="J1031" s="12" t="str">
        <f t="shared" si="50"/>
        <v/>
      </c>
      <c r="K1031" s="12" t="str">
        <f>IFERROR((E1031 - VLOOKUP(C1031, 'Stock Entry'!B:E, 4, FALSE)) * D1031, "")</f>
        <v/>
      </c>
    </row>
    <row r="1032" spans="7:11" x14ac:dyDescent="0.25">
      <c r="G1032" s="12" t="str">
        <f t="shared" si="48"/>
        <v/>
      </c>
      <c r="I1032" s="12" t="str">
        <f t="shared" si="49"/>
        <v/>
      </c>
      <c r="J1032" s="12" t="str">
        <f t="shared" si="50"/>
        <v/>
      </c>
      <c r="K1032" s="12" t="str">
        <f>IFERROR((E1032 - VLOOKUP(C1032, 'Stock Entry'!B:E, 4, FALSE)) * D1032, "")</f>
        <v/>
      </c>
    </row>
    <row r="1033" spans="7:11" x14ac:dyDescent="0.25">
      <c r="G1033" s="12" t="str">
        <f t="shared" si="48"/>
        <v/>
      </c>
      <c r="I1033" s="12" t="str">
        <f t="shared" si="49"/>
        <v/>
      </c>
      <c r="J1033" s="12" t="str">
        <f t="shared" si="50"/>
        <v/>
      </c>
      <c r="K1033" s="12" t="str">
        <f>IFERROR((E1033 - VLOOKUP(C1033, 'Stock Entry'!B:E, 4, FALSE)) * D1033, "")</f>
        <v/>
      </c>
    </row>
    <row r="1034" spans="7:11" x14ac:dyDescent="0.25">
      <c r="G1034" s="12" t="str">
        <f t="shared" si="48"/>
        <v/>
      </c>
      <c r="I1034" s="12" t="str">
        <f t="shared" si="49"/>
        <v/>
      </c>
      <c r="J1034" s="12" t="str">
        <f t="shared" si="50"/>
        <v/>
      </c>
      <c r="K1034" s="12" t="str">
        <f>IFERROR((E1034 - VLOOKUP(C1034, 'Stock Entry'!B:E, 4, FALSE)) * D1034, "")</f>
        <v/>
      </c>
    </row>
    <row r="1035" spans="7:11" x14ac:dyDescent="0.25">
      <c r="G1035" s="12" t="str">
        <f t="shared" si="48"/>
        <v/>
      </c>
      <c r="I1035" s="12" t="str">
        <f t="shared" si="49"/>
        <v/>
      </c>
      <c r="J1035" s="12" t="str">
        <f t="shared" si="50"/>
        <v/>
      </c>
      <c r="K1035" s="12" t="str">
        <f>IFERROR((E1035 - VLOOKUP(C1035, 'Stock Entry'!B:E, 4, FALSE)) * D1035, "")</f>
        <v/>
      </c>
    </row>
    <row r="1036" spans="7:11" x14ac:dyDescent="0.25">
      <c r="G1036" s="12" t="str">
        <f t="shared" si="48"/>
        <v/>
      </c>
      <c r="I1036" s="12" t="str">
        <f t="shared" si="49"/>
        <v/>
      </c>
      <c r="J1036" s="12" t="str">
        <f t="shared" si="50"/>
        <v/>
      </c>
      <c r="K1036" s="12" t="str">
        <f>IFERROR((E1036 - VLOOKUP(C1036, 'Stock Entry'!B:E, 4, FALSE)) * D1036, "")</f>
        <v/>
      </c>
    </row>
    <row r="1037" spans="7:11" x14ac:dyDescent="0.25">
      <c r="G1037" s="12" t="str">
        <f t="shared" si="48"/>
        <v/>
      </c>
      <c r="I1037" s="12" t="str">
        <f t="shared" si="49"/>
        <v/>
      </c>
      <c r="J1037" s="12" t="str">
        <f t="shared" si="50"/>
        <v/>
      </c>
      <c r="K1037" s="12" t="str">
        <f>IFERROR((E1037 - VLOOKUP(C1037, 'Stock Entry'!B:E, 4, FALSE)) * D1037, "")</f>
        <v/>
      </c>
    </row>
    <row r="1038" spans="7:11" x14ac:dyDescent="0.25">
      <c r="G1038" s="12" t="str">
        <f t="shared" si="48"/>
        <v/>
      </c>
      <c r="I1038" s="12" t="str">
        <f t="shared" si="49"/>
        <v/>
      </c>
      <c r="J1038" s="12" t="str">
        <f t="shared" si="50"/>
        <v/>
      </c>
      <c r="K1038" s="12" t="str">
        <f>IFERROR((E1038 - VLOOKUP(C1038, 'Stock Entry'!B:E, 4, FALSE)) * D1038, "")</f>
        <v/>
      </c>
    </row>
    <row r="1039" spans="7:11" x14ac:dyDescent="0.25">
      <c r="G1039" s="12" t="str">
        <f t="shared" si="48"/>
        <v/>
      </c>
      <c r="I1039" s="12" t="str">
        <f t="shared" si="49"/>
        <v/>
      </c>
      <c r="J1039" s="12" t="str">
        <f t="shared" si="50"/>
        <v/>
      </c>
      <c r="K1039" s="12" t="str">
        <f>IFERROR((E1039 - VLOOKUP(C1039, 'Stock Entry'!B:E, 4, FALSE)) * D1039, "")</f>
        <v/>
      </c>
    </row>
    <row r="1040" spans="7:11" x14ac:dyDescent="0.25">
      <c r="G1040" s="12" t="str">
        <f t="shared" si="48"/>
        <v/>
      </c>
      <c r="I1040" s="12" t="str">
        <f t="shared" si="49"/>
        <v/>
      </c>
      <c r="J1040" s="12" t="str">
        <f t="shared" si="50"/>
        <v/>
      </c>
      <c r="K1040" s="12" t="str">
        <f>IFERROR((E1040 - VLOOKUP(C1040, 'Stock Entry'!B:E, 4, FALSE)) * D1040, "")</f>
        <v/>
      </c>
    </row>
    <row r="1041" spans="7:11" x14ac:dyDescent="0.25">
      <c r="G1041" s="12" t="str">
        <f t="shared" si="48"/>
        <v/>
      </c>
      <c r="I1041" s="12" t="str">
        <f t="shared" si="49"/>
        <v/>
      </c>
      <c r="J1041" s="12" t="str">
        <f t="shared" si="50"/>
        <v/>
      </c>
      <c r="K1041" s="12" t="str">
        <f>IFERROR((E1041 - VLOOKUP(C1041, 'Stock Entry'!B:E, 4, FALSE)) * D1041, "")</f>
        <v/>
      </c>
    </row>
    <row r="1042" spans="7:11" x14ac:dyDescent="0.25">
      <c r="G1042" s="12" t="str">
        <f t="shared" si="48"/>
        <v/>
      </c>
      <c r="I1042" s="12" t="str">
        <f t="shared" si="49"/>
        <v/>
      </c>
      <c r="J1042" s="12" t="str">
        <f t="shared" si="50"/>
        <v/>
      </c>
      <c r="K1042" s="12" t="str">
        <f>IFERROR((E1042 - VLOOKUP(C1042, 'Stock Entry'!B:E, 4, FALSE)) * D1042, "")</f>
        <v/>
      </c>
    </row>
    <row r="1043" spans="7:11" x14ac:dyDescent="0.25">
      <c r="G1043" s="12" t="str">
        <f t="shared" si="48"/>
        <v/>
      </c>
      <c r="I1043" s="12" t="str">
        <f t="shared" si="49"/>
        <v/>
      </c>
      <c r="J1043" s="12" t="str">
        <f t="shared" si="50"/>
        <v/>
      </c>
      <c r="K1043" s="12" t="str">
        <f>IFERROR((E1043 - VLOOKUP(C1043, 'Stock Entry'!B:E, 4, FALSE)) * D1043, "")</f>
        <v/>
      </c>
    </row>
    <row r="1044" spans="7:11" x14ac:dyDescent="0.25">
      <c r="G1044" s="12" t="str">
        <f t="shared" si="48"/>
        <v/>
      </c>
      <c r="I1044" s="12" t="str">
        <f t="shared" si="49"/>
        <v/>
      </c>
      <c r="J1044" s="12" t="str">
        <f t="shared" si="50"/>
        <v/>
      </c>
      <c r="K1044" s="12" t="str">
        <f>IFERROR((E1044 - VLOOKUP(C1044, 'Stock Entry'!B:E, 4, FALSE)) * D1044, "")</f>
        <v/>
      </c>
    </row>
    <row r="1045" spans="7:11" x14ac:dyDescent="0.25">
      <c r="G1045" s="12" t="str">
        <f t="shared" si="48"/>
        <v/>
      </c>
      <c r="I1045" s="12" t="str">
        <f t="shared" si="49"/>
        <v/>
      </c>
      <c r="J1045" s="12" t="str">
        <f t="shared" si="50"/>
        <v/>
      </c>
      <c r="K1045" s="12" t="str">
        <f>IFERROR((E1045 - VLOOKUP(C1045, 'Stock Entry'!B:E, 4, FALSE)) * D1045, "")</f>
        <v/>
      </c>
    </row>
    <row r="1046" spans="7:11" x14ac:dyDescent="0.25">
      <c r="G1046" s="12" t="str">
        <f t="shared" si="48"/>
        <v/>
      </c>
      <c r="I1046" s="12" t="str">
        <f t="shared" si="49"/>
        <v/>
      </c>
      <c r="J1046" s="12" t="str">
        <f t="shared" si="50"/>
        <v/>
      </c>
      <c r="K1046" s="12" t="str">
        <f>IFERROR((E1046 - VLOOKUP(C1046, 'Stock Entry'!B:E, 4, FALSE)) * D1046, "")</f>
        <v/>
      </c>
    </row>
    <row r="1047" spans="7:11" x14ac:dyDescent="0.25">
      <c r="G1047" s="12" t="str">
        <f t="shared" si="48"/>
        <v/>
      </c>
      <c r="I1047" s="12" t="str">
        <f t="shared" si="49"/>
        <v/>
      </c>
      <c r="J1047" s="12" t="str">
        <f t="shared" si="50"/>
        <v/>
      </c>
      <c r="K1047" s="12" t="str">
        <f>IFERROR((E1047 - VLOOKUP(C1047, 'Stock Entry'!B:E, 4, FALSE)) * D1047, "")</f>
        <v/>
      </c>
    </row>
    <row r="1048" spans="7:11" x14ac:dyDescent="0.25">
      <c r="G1048" s="12" t="str">
        <f t="shared" si="48"/>
        <v/>
      </c>
      <c r="I1048" s="12" t="str">
        <f t="shared" si="49"/>
        <v/>
      </c>
      <c r="J1048" s="12" t="str">
        <f t="shared" si="50"/>
        <v/>
      </c>
      <c r="K1048" s="12" t="str">
        <f>IFERROR((E1048 - VLOOKUP(C1048, 'Stock Entry'!B:E, 4, FALSE)) * D1048, "")</f>
        <v/>
      </c>
    </row>
    <row r="1049" spans="7:11" x14ac:dyDescent="0.25">
      <c r="G1049" s="12" t="str">
        <f t="shared" si="48"/>
        <v/>
      </c>
      <c r="I1049" s="12" t="str">
        <f t="shared" si="49"/>
        <v/>
      </c>
      <c r="J1049" s="12" t="str">
        <f t="shared" si="50"/>
        <v/>
      </c>
      <c r="K1049" s="12" t="str">
        <f>IFERROR((E1049 - VLOOKUP(C1049, 'Stock Entry'!B:E, 4, FALSE)) * D1049, "")</f>
        <v/>
      </c>
    </row>
    <row r="1050" spans="7:11" x14ac:dyDescent="0.25">
      <c r="G1050" s="12" t="str">
        <f t="shared" si="48"/>
        <v/>
      </c>
      <c r="I1050" s="12" t="str">
        <f t="shared" si="49"/>
        <v/>
      </c>
      <c r="J1050" s="12" t="str">
        <f t="shared" si="50"/>
        <v/>
      </c>
      <c r="K1050" s="12" t="str">
        <f>IFERROR((E1050 - VLOOKUP(C1050, 'Stock Entry'!B:E, 4, FALSE)) * D1050, "")</f>
        <v/>
      </c>
    </row>
    <row r="1051" spans="7:11" x14ac:dyDescent="0.25">
      <c r="G1051" s="12" t="str">
        <f t="shared" si="48"/>
        <v/>
      </c>
      <c r="I1051" s="12" t="str">
        <f t="shared" si="49"/>
        <v/>
      </c>
      <c r="J1051" s="12" t="str">
        <f t="shared" si="50"/>
        <v/>
      </c>
      <c r="K1051" s="12" t="str">
        <f>IFERROR((E1051 - VLOOKUP(C1051, 'Stock Entry'!B:E, 4, FALSE)) * D1051, "")</f>
        <v/>
      </c>
    </row>
    <row r="1052" spans="7:11" x14ac:dyDescent="0.25">
      <c r="G1052" s="12" t="str">
        <f t="shared" si="48"/>
        <v/>
      </c>
      <c r="I1052" s="12" t="str">
        <f t="shared" si="49"/>
        <v/>
      </c>
      <c r="J1052" s="12" t="str">
        <f t="shared" si="50"/>
        <v/>
      </c>
      <c r="K1052" s="12" t="str">
        <f>IFERROR((E1052 - VLOOKUP(C1052, 'Stock Entry'!B:E, 4, FALSE)) * D1052, "")</f>
        <v/>
      </c>
    </row>
    <row r="1053" spans="7:11" x14ac:dyDescent="0.25">
      <c r="G1053" s="12" t="str">
        <f t="shared" si="48"/>
        <v/>
      </c>
      <c r="I1053" s="12" t="str">
        <f t="shared" si="49"/>
        <v/>
      </c>
      <c r="J1053" s="12" t="str">
        <f t="shared" si="50"/>
        <v/>
      </c>
      <c r="K1053" s="12" t="str">
        <f>IFERROR((E1053 - VLOOKUP(C1053, 'Stock Entry'!B:E, 4, FALSE)) * D1053, "")</f>
        <v/>
      </c>
    </row>
    <row r="1054" spans="7:11" x14ac:dyDescent="0.25">
      <c r="G1054" s="12" t="str">
        <f t="shared" si="48"/>
        <v/>
      </c>
      <c r="I1054" s="12" t="str">
        <f t="shared" si="49"/>
        <v/>
      </c>
      <c r="J1054" s="12" t="str">
        <f t="shared" si="50"/>
        <v/>
      </c>
      <c r="K1054" s="12" t="str">
        <f>IFERROR((E1054 - VLOOKUP(C1054, 'Stock Entry'!B:E, 4, FALSE)) * D1054, "")</f>
        <v/>
      </c>
    </row>
    <row r="1055" spans="7:11" x14ac:dyDescent="0.25">
      <c r="G1055" s="12" t="str">
        <f t="shared" si="48"/>
        <v/>
      </c>
      <c r="I1055" s="12" t="str">
        <f t="shared" si="49"/>
        <v/>
      </c>
      <c r="J1055" s="12" t="str">
        <f t="shared" si="50"/>
        <v/>
      </c>
      <c r="K1055" s="12" t="str">
        <f>IFERROR((E1055 - VLOOKUP(C1055, 'Stock Entry'!B:E, 4, FALSE)) * D1055, "")</f>
        <v/>
      </c>
    </row>
    <row r="1056" spans="7:11" x14ac:dyDescent="0.25">
      <c r="G1056" s="12" t="str">
        <f t="shared" si="48"/>
        <v/>
      </c>
      <c r="I1056" s="12" t="str">
        <f t="shared" si="49"/>
        <v/>
      </c>
      <c r="J1056" s="12" t="str">
        <f t="shared" si="50"/>
        <v/>
      </c>
      <c r="K1056" s="12" t="str">
        <f>IFERROR((E1056 - VLOOKUP(C1056, 'Stock Entry'!B:E, 4, FALSE)) * D1056, "")</f>
        <v/>
      </c>
    </row>
    <row r="1057" spans="7:11" x14ac:dyDescent="0.25">
      <c r="G1057" s="12" t="str">
        <f t="shared" si="48"/>
        <v/>
      </c>
      <c r="I1057" s="12" t="str">
        <f t="shared" si="49"/>
        <v/>
      </c>
      <c r="J1057" s="12" t="str">
        <f t="shared" si="50"/>
        <v/>
      </c>
      <c r="K1057" s="12" t="str">
        <f>IFERROR((E1057 - VLOOKUP(C1057, 'Stock Entry'!B:E, 4, FALSE)) * D1057, "")</f>
        <v/>
      </c>
    </row>
    <row r="1058" spans="7:11" x14ac:dyDescent="0.25">
      <c r="G1058" s="12" t="str">
        <f t="shared" si="48"/>
        <v/>
      </c>
      <c r="I1058" s="12" t="str">
        <f t="shared" si="49"/>
        <v/>
      </c>
      <c r="J1058" s="12" t="str">
        <f t="shared" si="50"/>
        <v/>
      </c>
      <c r="K1058" s="12" t="str">
        <f>IFERROR((E1058 - VLOOKUP(C1058, 'Stock Entry'!B:E, 4, FALSE)) * D1058, "")</f>
        <v/>
      </c>
    </row>
    <row r="1059" spans="7:11" x14ac:dyDescent="0.25">
      <c r="G1059" s="12" t="str">
        <f t="shared" si="48"/>
        <v/>
      </c>
      <c r="I1059" s="12" t="str">
        <f t="shared" si="49"/>
        <v/>
      </c>
      <c r="J1059" s="12" t="str">
        <f t="shared" si="50"/>
        <v/>
      </c>
      <c r="K1059" s="12" t="str">
        <f>IFERROR((E1059 - VLOOKUP(C1059, 'Stock Entry'!B:E, 4, FALSE)) * D1059, "")</f>
        <v/>
      </c>
    </row>
    <row r="1060" spans="7:11" x14ac:dyDescent="0.25">
      <c r="G1060" s="12" t="str">
        <f t="shared" si="48"/>
        <v/>
      </c>
      <c r="I1060" s="12" t="str">
        <f t="shared" si="49"/>
        <v/>
      </c>
      <c r="J1060" s="12" t="str">
        <f t="shared" si="50"/>
        <v/>
      </c>
      <c r="K1060" s="12" t="str">
        <f>IFERROR((E1060 - VLOOKUP(C1060, 'Stock Entry'!B:E, 4, FALSE)) * D1060, "")</f>
        <v/>
      </c>
    </row>
    <row r="1061" spans="7:11" x14ac:dyDescent="0.25">
      <c r="G1061" s="12" t="str">
        <f t="shared" si="48"/>
        <v/>
      </c>
      <c r="I1061" s="12" t="str">
        <f t="shared" si="49"/>
        <v/>
      </c>
      <c r="J1061" s="12" t="str">
        <f t="shared" si="50"/>
        <v/>
      </c>
      <c r="K1061" s="12" t="str">
        <f>IFERROR((E1061 - VLOOKUP(C1061, 'Stock Entry'!B:E, 4, FALSE)) * D1061, "")</f>
        <v/>
      </c>
    </row>
    <row r="1062" spans="7:11" x14ac:dyDescent="0.25">
      <c r="G1062" s="12" t="str">
        <f t="shared" si="48"/>
        <v/>
      </c>
      <c r="I1062" s="12" t="str">
        <f t="shared" si="49"/>
        <v/>
      </c>
      <c r="J1062" s="12" t="str">
        <f t="shared" si="50"/>
        <v/>
      </c>
      <c r="K1062" s="12" t="str">
        <f>IFERROR((E1062 - VLOOKUP(C1062, 'Stock Entry'!B:E, 4, FALSE)) * D1062, "")</f>
        <v/>
      </c>
    </row>
    <row r="1063" spans="7:11" x14ac:dyDescent="0.25">
      <c r="G1063" s="12" t="str">
        <f t="shared" si="48"/>
        <v/>
      </c>
      <c r="I1063" s="12" t="str">
        <f t="shared" si="49"/>
        <v/>
      </c>
      <c r="J1063" s="12" t="str">
        <f t="shared" si="50"/>
        <v/>
      </c>
      <c r="K1063" s="12" t="str">
        <f>IFERROR((E1063 - VLOOKUP(C1063, 'Stock Entry'!B:E, 4, FALSE)) * D1063, "")</f>
        <v/>
      </c>
    </row>
    <row r="1064" spans="7:11" x14ac:dyDescent="0.25">
      <c r="G1064" s="12" t="str">
        <f t="shared" si="48"/>
        <v/>
      </c>
      <c r="I1064" s="12" t="str">
        <f t="shared" si="49"/>
        <v/>
      </c>
      <c r="J1064" s="12" t="str">
        <f t="shared" si="50"/>
        <v/>
      </c>
      <c r="K1064" s="12" t="str">
        <f>IFERROR((E1064 - VLOOKUP(C1064, 'Stock Entry'!B:E, 4, FALSE)) * D1064, "")</f>
        <v/>
      </c>
    </row>
    <row r="1065" spans="7:11" x14ac:dyDescent="0.25">
      <c r="G1065" s="12" t="str">
        <f t="shared" si="48"/>
        <v/>
      </c>
      <c r="I1065" s="12" t="str">
        <f t="shared" si="49"/>
        <v/>
      </c>
      <c r="J1065" s="12" t="str">
        <f t="shared" si="50"/>
        <v/>
      </c>
      <c r="K1065" s="12" t="str">
        <f>IFERROR((E1065 - VLOOKUP(C1065, 'Stock Entry'!B:E, 4, FALSE)) * D1065, "")</f>
        <v/>
      </c>
    </row>
    <row r="1066" spans="7:11" x14ac:dyDescent="0.25">
      <c r="G1066" s="12" t="str">
        <f t="shared" si="48"/>
        <v/>
      </c>
      <c r="I1066" s="12" t="str">
        <f t="shared" si="49"/>
        <v/>
      </c>
      <c r="J1066" s="12" t="str">
        <f t="shared" si="50"/>
        <v/>
      </c>
      <c r="K1066" s="12" t="str">
        <f>IFERROR((E1066 - VLOOKUP(C1066, 'Stock Entry'!B:E, 4, FALSE)) * D1066, "")</f>
        <v/>
      </c>
    </row>
    <row r="1067" spans="7:11" x14ac:dyDescent="0.25">
      <c r="G1067" s="12" t="str">
        <f t="shared" si="48"/>
        <v/>
      </c>
      <c r="I1067" s="12" t="str">
        <f t="shared" si="49"/>
        <v/>
      </c>
      <c r="J1067" s="12" t="str">
        <f t="shared" si="50"/>
        <v/>
      </c>
      <c r="K1067" s="12" t="str">
        <f>IFERROR((E1067 - VLOOKUP(C1067, 'Stock Entry'!B:E, 4, FALSE)) * D1067, "")</f>
        <v/>
      </c>
    </row>
    <row r="1068" spans="7:11" x14ac:dyDescent="0.25">
      <c r="G1068" s="12" t="str">
        <f t="shared" si="48"/>
        <v/>
      </c>
      <c r="I1068" s="12" t="str">
        <f t="shared" si="49"/>
        <v/>
      </c>
      <c r="J1068" s="12" t="str">
        <f t="shared" si="50"/>
        <v/>
      </c>
      <c r="K1068" s="12" t="str">
        <f>IFERROR((E1068 - VLOOKUP(C1068, 'Stock Entry'!B:E, 4, FALSE)) * D1068, "")</f>
        <v/>
      </c>
    </row>
    <row r="1069" spans="7:11" x14ac:dyDescent="0.25">
      <c r="G1069" s="12" t="str">
        <f t="shared" si="48"/>
        <v/>
      </c>
      <c r="I1069" s="12" t="str">
        <f t="shared" si="49"/>
        <v/>
      </c>
      <c r="J1069" s="12" t="str">
        <f t="shared" si="50"/>
        <v/>
      </c>
      <c r="K1069" s="12" t="str">
        <f>IFERROR((E1069 - VLOOKUP(C1069, 'Stock Entry'!B:E, 4, FALSE)) * D1069, "")</f>
        <v/>
      </c>
    </row>
    <row r="1070" spans="7:11" x14ac:dyDescent="0.25">
      <c r="G1070" s="12" t="str">
        <f t="shared" si="48"/>
        <v/>
      </c>
      <c r="I1070" s="12" t="str">
        <f t="shared" si="49"/>
        <v/>
      </c>
      <c r="J1070" s="12" t="str">
        <f t="shared" si="50"/>
        <v/>
      </c>
      <c r="K1070" s="12" t="str">
        <f>IFERROR((E1070 - VLOOKUP(C1070, 'Stock Entry'!B:E, 4, FALSE)) * D1070, "")</f>
        <v/>
      </c>
    </row>
    <row r="1071" spans="7:11" x14ac:dyDescent="0.25">
      <c r="G1071" s="12" t="str">
        <f t="shared" si="48"/>
        <v/>
      </c>
      <c r="I1071" s="12" t="str">
        <f t="shared" si="49"/>
        <v/>
      </c>
      <c r="J1071" s="12" t="str">
        <f t="shared" si="50"/>
        <v/>
      </c>
      <c r="K1071" s="12" t="str">
        <f>IFERROR((E1071 - VLOOKUP(C1071, 'Stock Entry'!B:E, 4, FALSE)) * D1071, "")</f>
        <v/>
      </c>
    </row>
    <row r="1072" spans="7:11" x14ac:dyDescent="0.25">
      <c r="G1072" s="12" t="str">
        <f t="shared" si="48"/>
        <v/>
      </c>
      <c r="I1072" s="12" t="str">
        <f t="shared" si="49"/>
        <v/>
      </c>
      <c r="J1072" s="12" t="str">
        <f t="shared" si="50"/>
        <v/>
      </c>
      <c r="K1072" s="12" t="str">
        <f>IFERROR((E1072 - VLOOKUP(C1072, 'Stock Entry'!B:E, 4, FALSE)) * D1072, "")</f>
        <v/>
      </c>
    </row>
    <row r="1073" spans="7:11" x14ac:dyDescent="0.25">
      <c r="G1073" s="12" t="str">
        <f t="shared" si="48"/>
        <v/>
      </c>
      <c r="I1073" s="12" t="str">
        <f t="shared" si="49"/>
        <v/>
      </c>
      <c r="J1073" s="12" t="str">
        <f t="shared" si="50"/>
        <v/>
      </c>
      <c r="K1073" s="12" t="str">
        <f>IFERROR((E1073 - VLOOKUP(C1073, 'Stock Entry'!B:E, 4, FALSE)) * D1073, "")</f>
        <v/>
      </c>
    </row>
    <row r="1074" spans="7:11" x14ac:dyDescent="0.25">
      <c r="G1074" s="12" t="str">
        <f t="shared" si="48"/>
        <v/>
      </c>
      <c r="I1074" s="12" t="str">
        <f t="shared" si="49"/>
        <v/>
      </c>
      <c r="J1074" s="12" t="str">
        <f t="shared" si="50"/>
        <v/>
      </c>
      <c r="K1074" s="12" t="str">
        <f>IFERROR((E1074 - VLOOKUP(C1074, 'Stock Entry'!B:E, 4, FALSE)) * D1074, "")</f>
        <v/>
      </c>
    </row>
    <row r="1075" spans="7:11" x14ac:dyDescent="0.25">
      <c r="G1075" s="12" t="str">
        <f t="shared" si="48"/>
        <v/>
      </c>
      <c r="I1075" s="12" t="str">
        <f t="shared" si="49"/>
        <v/>
      </c>
      <c r="J1075" s="12" t="str">
        <f t="shared" si="50"/>
        <v/>
      </c>
      <c r="K1075" s="12" t="str">
        <f>IFERROR((E1075 - VLOOKUP(C1075, 'Stock Entry'!B:E, 4, FALSE)) * D1075, "")</f>
        <v/>
      </c>
    </row>
    <row r="1076" spans="7:11" x14ac:dyDescent="0.25">
      <c r="G1076" s="12" t="str">
        <f t="shared" si="48"/>
        <v/>
      </c>
      <c r="I1076" s="12" t="str">
        <f t="shared" si="49"/>
        <v/>
      </c>
      <c r="J1076" s="12" t="str">
        <f t="shared" si="50"/>
        <v/>
      </c>
      <c r="K1076" s="12" t="str">
        <f>IFERROR((E1076 - VLOOKUP(C1076, 'Stock Entry'!B:E, 4, FALSE)) * D1076, "")</f>
        <v/>
      </c>
    </row>
    <row r="1077" spans="7:11" x14ac:dyDescent="0.25">
      <c r="G1077" s="12" t="str">
        <f t="shared" si="48"/>
        <v/>
      </c>
      <c r="I1077" s="12" t="str">
        <f t="shared" si="49"/>
        <v/>
      </c>
      <c r="J1077" s="12" t="str">
        <f t="shared" si="50"/>
        <v/>
      </c>
      <c r="K1077" s="12" t="str">
        <f>IFERROR((E1077 - VLOOKUP(C1077, 'Stock Entry'!B:E, 4, FALSE)) * D1077, "")</f>
        <v/>
      </c>
    </row>
    <row r="1078" spans="7:11" x14ac:dyDescent="0.25">
      <c r="G1078" s="12" t="str">
        <f t="shared" si="48"/>
        <v/>
      </c>
      <c r="I1078" s="12" t="str">
        <f t="shared" si="49"/>
        <v/>
      </c>
      <c r="J1078" s="12" t="str">
        <f t="shared" si="50"/>
        <v/>
      </c>
      <c r="K1078" s="12" t="str">
        <f>IFERROR((E1078 - VLOOKUP(C1078, 'Stock Entry'!B:E, 4, FALSE)) * D1078, "")</f>
        <v/>
      </c>
    </row>
    <row r="1079" spans="7:11" x14ac:dyDescent="0.25">
      <c r="G1079" s="12" t="str">
        <f t="shared" si="48"/>
        <v/>
      </c>
      <c r="I1079" s="12" t="str">
        <f t="shared" si="49"/>
        <v/>
      </c>
      <c r="J1079" s="12" t="str">
        <f t="shared" si="50"/>
        <v/>
      </c>
      <c r="K1079" s="12" t="str">
        <f>IFERROR((E1079 - VLOOKUP(C1079, 'Stock Entry'!B:E, 4, FALSE)) * D1079, "")</f>
        <v/>
      </c>
    </row>
    <row r="1080" spans="7:11" x14ac:dyDescent="0.25">
      <c r="G1080" s="12" t="str">
        <f t="shared" si="48"/>
        <v/>
      </c>
      <c r="I1080" s="12" t="str">
        <f t="shared" si="49"/>
        <v/>
      </c>
      <c r="J1080" s="12" t="str">
        <f t="shared" si="50"/>
        <v/>
      </c>
      <c r="K1080" s="12" t="str">
        <f>IFERROR((E1080 - VLOOKUP(C1080, 'Stock Entry'!B:E, 4, FALSE)) * D1080, "")</f>
        <v/>
      </c>
    </row>
    <row r="1081" spans="7:11" x14ac:dyDescent="0.25">
      <c r="G1081" s="12" t="str">
        <f t="shared" si="48"/>
        <v/>
      </c>
      <c r="I1081" s="12" t="str">
        <f t="shared" si="49"/>
        <v/>
      </c>
      <c r="J1081" s="12" t="str">
        <f t="shared" si="50"/>
        <v/>
      </c>
      <c r="K1081" s="12" t="str">
        <f>IFERROR((E1081 - VLOOKUP(C1081, 'Stock Entry'!B:E, 4, FALSE)) * D1081, "")</f>
        <v/>
      </c>
    </row>
    <row r="1082" spans="7:11" x14ac:dyDescent="0.25">
      <c r="G1082" s="12" t="str">
        <f t="shared" si="48"/>
        <v/>
      </c>
      <c r="I1082" s="12" t="str">
        <f t="shared" si="49"/>
        <v/>
      </c>
      <c r="J1082" s="12" t="str">
        <f t="shared" si="50"/>
        <v/>
      </c>
      <c r="K1082" s="12" t="str">
        <f>IFERROR((E1082 - VLOOKUP(C1082, 'Stock Entry'!B:E, 4, FALSE)) * D1082, "")</f>
        <v/>
      </c>
    </row>
    <row r="1083" spans="7:11" x14ac:dyDescent="0.25">
      <c r="G1083" s="12" t="str">
        <f t="shared" si="48"/>
        <v/>
      </c>
      <c r="I1083" s="12" t="str">
        <f t="shared" si="49"/>
        <v/>
      </c>
      <c r="J1083" s="12" t="str">
        <f t="shared" si="50"/>
        <v/>
      </c>
      <c r="K1083" s="12" t="str">
        <f>IFERROR((E1083 - VLOOKUP(C1083, 'Stock Entry'!B:E, 4, FALSE)) * D1083, "")</f>
        <v/>
      </c>
    </row>
    <row r="1084" spans="7:11" x14ac:dyDescent="0.25">
      <c r="G1084" s="12" t="str">
        <f t="shared" si="48"/>
        <v/>
      </c>
      <c r="I1084" s="12" t="str">
        <f t="shared" si="49"/>
        <v/>
      </c>
      <c r="J1084" s="12" t="str">
        <f t="shared" si="50"/>
        <v/>
      </c>
      <c r="K1084" s="12" t="str">
        <f>IFERROR((E1084 - VLOOKUP(C1084, 'Stock Entry'!B:E, 4, FALSE)) * D1084, "")</f>
        <v/>
      </c>
    </row>
    <row r="1085" spans="7:11" x14ac:dyDescent="0.25">
      <c r="G1085" s="12" t="str">
        <f t="shared" si="48"/>
        <v/>
      </c>
      <c r="I1085" s="12" t="str">
        <f t="shared" si="49"/>
        <v/>
      </c>
      <c r="J1085" s="12" t="str">
        <f t="shared" si="50"/>
        <v/>
      </c>
      <c r="K1085" s="12" t="str">
        <f>IFERROR((E1085 - VLOOKUP(C1085, 'Stock Entry'!B:E, 4, FALSE)) * D1085, "")</f>
        <v/>
      </c>
    </row>
    <row r="1086" spans="7:11" x14ac:dyDescent="0.25">
      <c r="G1086" s="12" t="str">
        <f t="shared" si="48"/>
        <v/>
      </c>
      <c r="I1086" s="12" t="str">
        <f t="shared" si="49"/>
        <v/>
      </c>
      <c r="J1086" s="12" t="str">
        <f t="shared" si="50"/>
        <v/>
      </c>
      <c r="K1086" s="12" t="str">
        <f>IFERROR((E1086 - VLOOKUP(C1086, 'Stock Entry'!B:E, 4, FALSE)) * D1086, "")</f>
        <v/>
      </c>
    </row>
    <row r="1087" spans="7:11" x14ac:dyDescent="0.25">
      <c r="G1087" s="12" t="str">
        <f t="shared" si="48"/>
        <v/>
      </c>
      <c r="I1087" s="12" t="str">
        <f t="shared" si="49"/>
        <v/>
      </c>
      <c r="J1087" s="12" t="str">
        <f t="shared" si="50"/>
        <v/>
      </c>
      <c r="K1087" s="12" t="str">
        <f>IFERROR((E1087 - VLOOKUP(C1087, 'Stock Entry'!B:E, 4, FALSE)) * D1087, "")</f>
        <v/>
      </c>
    </row>
    <row r="1088" spans="7:11" x14ac:dyDescent="0.25">
      <c r="G1088" s="12" t="str">
        <f t="shared" si="48"/>
        <v/>
      </c>
      <c r="I1088" s="12" t="str">
        <f t="shared" si="49"/>
        <v/>
      </c>
      <c r="J1088" s="12" t="str">
        <f t="shared" si="50"/>
        <v/>
      </c>
      <c r="K1088" s="12" t="str">
        <f>IFERROR((E1088 - VLOOKUP(C1088, 'Stock Entry'!B:E, 4, FALSE)) * D1088, "")</f>
        <v/>
      </c>
    </row>
    <row r="1089" spans="7:11" x14ac:dyDescent="0.25">
      <c r="G1089" s="12" t="str">
        <f t="shared" si="48"/>
        <v/>
      </c>
      <c r="I1089" s="12" t="str">
        <f t="shared" si="49"/>
        <v/>
      </c>
      <c r="J1089" s="12" t="str">
        <f t="shared" si="50"/>
        <v/>
      </c>
      <c r="K1089" s="12" t="str">
        <f>IFERROR((E1089 - VLOOKUP(C1089, 'Stock Entry'!B:E, 4, FALSE)) * D1089, "")</f>
        <v/>
      </c>
    </row>
    <row r="1090" spans="7:11" x14ac:dyDescent="0.25">
      <c r="G1090" s="12" t="str">
        <f t="shared" si="48"/>
        <v/>
      </c>
      <c r="I1090" s="12" t="str">
        <f t="shared" si="49"/>
        <v/>
      </c>
      <c r="J1090" s="12" t="str">
        <f t="shared" si="50"/>
        <v/>
      </c>
      <c r="K1090" s="12" t="str">
        <f>IFERROR((E1090 - VLOOKUP(C1090, 'Stock Entry'!B:E, 4, FALSE)) * D1090, "")</f>
        <v/>
      </c>
    </row>
    <row r="1091" spans="7:11" x14ac:dyDescent="0.25">
      <c r="G1091" s="12" t="str">
        <f t="shared" ref="G1091:G1154" si="51">IF(F1091="Full Cash", D1091*E1091, "")</f>
        <v/>
      </c>
      <c r="I1091" s="12" t="str">
        <f t="shared" ref="I1091:I1154" si="52">IF(F1091="Full Credit",D1091*E1091,IF(F1091="Partly Payment",(D1091*E1091)-H1091,""))</f>
        <v/>
      </c>
      <c r="J1091" s="12" t="str">
        <f t="shared" ref="J1091:J1154" si="53">IF(F1091="Full Cash", G1091, IF(F1091="Full Credit", I1091, IF(F1091="Partly Payment", H1091+I1091, "")))</f>
        <v/>
      </c>
      <c r="K1091" s="12" t="str">
        <f>IFERROR((E1091 - VLOOKUP(C1091, 'Stock Entry'!B:E, 4, FALSE)) * D1091, "")</f>
        <v/>
      </c>
    </row>
    <row r="1092" spans="7:11" x14ac:dyDescent="0.25">
      <c r="G1092" s="12" t="str">
        <f t="shared" si="51"/>
        <v/>
      </c>
      <c r="I1092" s="12" t="str">
        <f t="shared" si="52"/>
        <v/>
      </c>
      <c r="J1092" s="12" t="str">
        <f t="shared" si="53"/>
        <v/>
      </c>
      <c r="K1092" s="12" t="str">
        <f>IFERROR((E1092 - VLOOKUP(C1092, 'Stock Entry'!B:E, 4, FALSE)) * D1092, "")</f>
        <v/>
      </c>
    </row>
    <row r="1093" spans="7:11" x14ac:dyDescent="0.25">
      <c r="G1093" s="12" t="str">
        <f t="shared" si="51"/>
        <v/>
      </c>
      <c r="I1093" s="12" t="str">
        <f t="shared" si="52"/>
        <v/>
      </c>
      <c r="J1093" s="12" t="str">
        <f t="shared" si="53"/>
        <v/>
      </c>
      <c r="K1093" s="12" t="str">
        <f>IFERROR((E1093 - VLOOKUP(C1093, 'Stock Entry'!B:E, 4, FALSE)) * D1093, "")</f>
        <v/>
      </c>
    </row>
    <row r="1094" spans="7:11" x14ac:dyDescent="0.25">
      <c r="G1094" s="12" t="str">
        <f t="shared" si="51"/>
        <v/>
      </c>
      <c r="I1094" s="12" t="str">
        <f t="shared" si="52"/>
        <v/>
      </c>
      <c r="J1094" s="12" t="str">
        <f t="shared" si="53"/>
        <v/>
      </c>
      <c r="K1094" s="12" t="str">
        <f>IFERROR((E1094 - VLOOKUP(C1094, 'Stock Entry'!B:E, 4, FALSE)) * D1094, "")</f>
        <v/>
      </c>
    </row>
    <row r="1095" spans="7:11" x14ac:dyDescent="0.25">
      <c r="G1095" s="12" t="str">
        <f t="shared" si="51"/>
        <v/>
      </c>
      <c r="I1095" s="12" t="str">
        <f t="shared" si="52"/>
        <v/>
      </c>
      <c r="J1095" s="12" t="str">
        <f t="shared" si="53"/>
        <v/>
      </c>
      <c r="K1095" s="12" t="str">
        <f>IFERROR((E1095 - VLOOKUP(C1095, 'Stock Entry'!B:E, 4, FALSE)) * D1095, "")</f>
        <v/>
      </c>
    </row>
    <row r="1096" spans="7:11" x14ac:dyDescent="0.25">
      <c r="G1096" s="12" t="str">
        <f t="shared" si="51"/>
        <v/>
      </c>
      <c r="I1096" s="12" t="str">
        <f t="shared" si="52"/>
        <v/>
      </c>
      <c r="J1096" s="12" t="str">
        <f t="shared" si="53"/>
        <v/>
      </c>
      <c r="K1096" s="12" t="str">
        <f>IFERROR((E1096 - VLOOKUP(C1096, 'Stock Entry'!B:E, 4, FALSE)) * D1096, "")</f>
        <v/>
      </c>
    </row>
    <row r="1097" spans="7:11" x14ac:dyDescent="0.25">
      <c r="G1097" s="12" t="str">
        <f t="shared" si="51"/>
        <v/>
      </c>
      <c r="I1097" s="12" t="str">
        <f t="shared" si="52"/>
        <v/>
      </c>
      <c r="J1097" s="12" t="str">
        <f t="shared" si="53"/>
        <v/>
      </c>
      <c r="K1097" s="12" t="str">
        <f>IFERROR((E1097 - VLOOKUP(C1097, 'Stock Entry'!B:E, 4, FALSE)) * D1097, "")</f>
        <v/>
      </c>
    </row>
    <row r="1098" spans="7:11" x14ac:dyDescent="0.25">
      <c r="G1098" s="12" t="str">
        <f t="shared" si="51"/>
        <v/>
      </c>
      <c r="I1098" s="12" t="str">
        <f t="shared" si="52"/>
        <v/>
      </c>
      <c r="J1098" s="12" t="str">
        <f t="shared" si="53"/>
        <v/>
      </c>
      <c r="K1098" s="12" t="str">
        <f>IFERROR((E1098 - VLOOKUP(C1098, 'Stock Entry'!B:E, 4, FALSE)) * D1098, "")</f>
        <v/>
      </c>
    </row>
    <row r="1099" spans="7:11" x14ac:dyDescent="0.25">
      <c r="G1099" s="12" t="str">
        <f t="shared" si="51"/>
        <v/>
      </c>
      <c r="I1099" s="12" t="str">
        <f t="shared" si="52"/>
        <v/>
      </c>
      <c r="J1099" s="12" t="str">
        <f t="shared" si="53"/>
        <v/>
      </c>
      <c r="K1099" s="12" t="str">
        <f>IFERROR((E1099 - VLOOKUP(C1099, 'Stock Entry'!B:E, 4, FALSE)) * D1099, "")</f>
        <v/>
      </c>
    </row>
    <row r="1100" spans="7:11" x14ac:dyDescent="0.25">
      <c r="G1100" s="12" t="str">
        <f t="shared" si="51"/>
        <v/>
      </c>
      <c r="I1100" s="12" t="str">
        <f t="shared" si="52"/>
        <v/>
      </c>
      <c r="J1100" s="12" t="str">
        <f t="shared" si="53"/>
        <v/>
      </c>
      <c r="K1100" s="12" t="str">
        <f>IFERROR((E1100 - VLOOKUP(C1100, 'Stock Entry'!B:E, 4, FALSE)) * D1100, "")</f>
        <v/>
      </c>
    </row>
    <row r="1101" spans="7:11" x14ac:dyDescent="0.25">
      <c r="G1101" s="12" t="str">
        <f t="shared" si="51"/>
        <v/>
      </c>
      <c r="I1101" s="12" t="str">
        <f t="shared" si="52"/>
        <v/>
      </c>
      <c r="J1101" s="12" t="str">
        <f t="shared" si="53"/>
        <v/>
      </c>
      <c r="K1101" s="12" t="str">
        <f>IFERROR((E1101 - VLOOKUP(C1101, 'Stock Entry'!B:E, 4, FALSE)) * D1101, "")</f>
        <v/>
      </c>
    </row>
    <row r="1102" spans="7:11" x14ac:dyDescent="0.25">
      <c r="G1102" s="12" t="str">
        <f t="shared" si="51"/>
        <v/>
      </c>
      <c r="I1102" s="12" t="str">
        <f t="shared" si="52"/>
        <v/>
      </c>
      <c r="J1102" s="12" t="str">
        <f t="shared" si="53"/>
        <v/>
      </c>
      <c r="K1102" s="12" t="str">
        <f>IFERROR((E1102 - VLOOKUP(C1102, 'Stock Entry'!B:E, 4, FALSE)) * D1102, "")</f>
        <v/>
      </c>
    </row>
    <row r="1103" spans="7:11" x14ac:dyDescent="0.25">
      <c r="G1103" s="12" t="str">
        <f t="shared" si="51"/>
        <v/>
      </c>
      <c r="I1103" s="12" t="str">
        <f t="shared" si="52"/>
        <v/>
      </c>
      <c r="J1103" s="12" t="str">
        <f t="shared" si="53"/>
        <v/>
      </c>
      <c r="K1103" s="12" t="str">
        <f>IFERROR((E1103 - VLOOKUP(C1103, 'Stock Entry'!B:E, 4, FALSE)) * D1103, "")</f>
        <v/>
      </c>
    </row>
    <row r="1104" spans="7:11" x14ac:dyDescent="0.25">
      <c r="G1104" s="12" t="str">
        <f t="shared" si="51"/>
        <v/>
      </c>
      <c r="I1104" s="12" t="str">
        <f t="shared" si="52"/>
        <v/>
      </c>
      <c r="J1104" s="12" t="str">
        <f t="shared" si="53"/>
        <v/>
      </c>
      <c r="K1104" s="12" t="str">
        <f>IFERROR((E1104 - VLOOKUP(C1104, 'Stock Entry'!B:E, 4, FALSE)) * D1104, "")</f>
        <v/>
      </c>
    </row>
    <row r="1105" spans="7:11" x14ac:dyDescent="0.25">
      <c r="G1105" s="12" t="str">
        <f t="shared" si="51"/>
        <v/>
      </c>
      <c r="I1105" s="12" t="str">
        <f t="shared" si="52"/>
        <v/>
      </c>
      <c r="J1105" s="12" t="str">
        <f t="shared" si="53"/>
        <v/>
      </c>
      <c r="K1105" s="12" t="str">
        <f>IFERROR((E1105 - VLOOKUP(C1105, 'Stock Entry'!B:E, 4, FALSE)) * D1105, "")</f>
        <v/>
      </c>
    </row>
    <row r="1106" spans="7:11" x14ac:dyDescent="0.25">
      <c r="G1106" s="12" t="str">
        <f t="shared" si="51"/>
        <v/>
      </c>
      <c r="I1106" s="12" t="str">
        <f t="shared" si="52"/>
        <v/>
      </c>
      <c r="J1106" s="12" t="str">
        <f t="shared" si="53"/>
        <v/>
      </c>
      <c r="K1106" s="12" t="str">
        <f>IFERROR((E1106 - VLOOKUP(C1106, 'Stock Entry'!B:E, 4, FALSE)) * D1106, "")</f>
        <v/>
      </c>
    </row>
    <row r="1107" spans="7:11" x14ac:dyDescent="0.25">
      <c r="G1107" s="12" t="str">
        <f t="shared" si="51"/>
        <v/>
      </c>
      <c r="I1107" s="12" t="str">
        <f t="shared" si="52"/>
        <v/>
      </c>
      <c r="J1107" s="12" t="str">
        <f t="shared" si="53"/>
        <v/>
      </c>
      <c r="K1107" s="12" t="str">
        <f>IFERROR((E1107 - VLOOKUP(C1107, 'Stock Entry'!B:E, 4, FALSE)) * D1107, "")</f>
        <v/>
      </c>
    </row>
    <row r="1108" spans="7:11" x14ac:dyDescent="0.25">
      <c r="G1108" s="12" t="str">
        <f t="shared" si="51"/>
        <v/>
      </c>
      <c r="I1108" s="12" t="str">
        <f t="shared" si="52"/>
        <v/>
      </c>
      <c r="J1108" s="12" t="str">
        <f t="shared" si="53"/>
        <v/>
      </c>
      <c r="K1108" s="12" t="str">
        <f>IFERROR((E1108 - VLOOKUP(C1108, 'Stock Entry'!B:E, 4, FALSE)) * D1108, "")</f>
        <v/>
      </c>
    </row>
    <row r="1109" spans="7:11" x14ac:dyDescent="0.25">
      <c r="G1109" s="12" t="str">
        <f t="shared" si="51"/>
        <v/>
      </c>
      <c r="I1109" s="12" t="str">
        <f t="shared" si="52"/>
        <v/>
      </c>
      <c r="J1109" s="12" t="str">
        <f t="shared" si="53"/>
        <v/>
      </c>
      <c r="K1109" s="12" t="str">
        <f>IFERROR((E1109 - VLOOKUP(C1109, 'Stock Entry'!B:E, 4, FALSE)) * D1109, "")</f>
        <v/>
      </c>
    </row>
    <row r="1110" spans="7:11" x14ac:dyDescent="0.25">
      <c r="G1110" s="12" t="str">
        <f t="shared" si="51"/>
        <v/>
      </c>
      <c r="I1110" s="12" t="str">
        <f t="shared" si="52"/>
        <v/>
      </c>
      <c r="J1110" s="12" t="str">
        <f t="shared" si="53"/>
        <v/>
      </c>
      <c r="K1110" s="12" t="str">
        <f>IFERROR((E1110 - VLOOKUP(C1110, 'Stock Entry'!B:E, 4, FALSE)) * D1110, "")</f>
        <v/>
      </c>
    </row>
    <row r="1111" spans="7:11" x14ac:dyDescent="0.25">
      <c r="G1111" s="12" t="str">
        <f t="shared" si="51"/>
        <v/>
      </c>
      <c r="I1111" s="12" t="str">
        <f t="shared" si="52"/>
        <v/>
      </c>
      <c r="J1111" s="12" t="str">
        <f t="shared" si="53"/>
        <v/>
      </c>
      <c r="K1111" s="12" t="str">
        <f>IFERROR((E1111 - VLOOKUP(C1111, 'Stock Entry'!B:E, 4, FALSE)) * D1111, "")</f>
        <v/>
      </c>
    </row>
    <row r="1112" spans="7:11" x14ac:dyDescent="0.25">
      <c r="G1112" s="12" t="str">
        <f t="shared" si="51"/>
        <v/>
      </c>
      <c r="I1112" s="12" t="str">
        <f t="shared" si="52"/>
        <v/>
      </c>
      <c r="J1112" s="12" t="str">
        <f t="shared" si="53"/>
        <v/>
      </c>
      <c r="K1112" s="12" t="str">
        <f>IFERROR((E1112 - VLOOKUP(C1112, 'Stock Entry'!B:E, 4, FALSE)) * D1112, "")</f>
        <v/>
      </c>
    </row>
    <row r="1113" spans="7:11" x14ac:dyDescent="0.25">
      <c r="G1113" s="12" t="str">
        <f t="shared" si="51"/>
        <v/>
      </c>
      <c r="I1113" s="12" t="str">
        <f t="shared" si="52"/>
        <v/>
      </c>
      <c r="J1113" s="12" t="str">
        <f t="shared" si="53"/>
        <v/>
      </c>
      <c r="K1113" s="12" t="str">
        <f>IFERROR((E1113 - VLOOKUP(C1113, 'Stock Entry'!B:E, 4, FALSE)) * D1113, "")</f>
        <v/>
      </c>
    </row>
    <row r="1114" spans="7:11" x14ac:dyDescent="0.25">
      <c r="G1114" s="12" t="str">
        <f t="shared" si="51"/>
        <v/>
      </c>
      <c r="I1114" s="12" t="str">
        <f t="shared" si="52"/>
        <v/>
      </c>
      <c r="J1114" s="12" t="str">
        <f t="shared" si="53"/>
        <v/>
      </c>
      <c r="K1114" s="12" t="str">
        <f>IFERROR((E1114 - VLOOKUP(C1114, 'Stock Entry'!B:E, 4, FALSE)) * D1114, "")</f>
        <v/>
      </c>
    </row>
    <row r="1115" spans="7:11" x14ac:dyDescent="0.25">
      <c r="G1115" s="12" t="str">
        <f t="shared" si="51"/>
        <v/>
      </c>
      <c r="I1115" s="12" t="str">
        <f t="shared" si="52"/>
        <v/>
      </c>
      <c r="J1115" s="12" t="str">
        <f t="shared" si="53"/>
        <v/>
      </c>
      <c r="K1115" s="12" t="str">
        <f>IFERROR((E1115 - VLOOKUP(C1115, 'Stock Entry'!B:E, 4, FALSE)) * D1115, "")</f>
        <v/>
      </c>
    </row>
    <row r="1116" spans="7:11" x14ac:dyDescent="0.25">
      <c r="G1116" s="12" t="str">
        <f t="shared" si="51"/>
        <v/>
      </c>
      <c r="I1116" s="12" t="str">
        <f t="shared" si="52"/>
        <v/>
      </c>
      <c r="J1116" s="12" t="str">
        <f t="shared" si="53"/>
        <v/>
      </c>
      <c r="K1116" s="12" t="str">
        <f>IFERROR((E1116 - VLOOKUP(C1116, 'Stock Entry'!B:E, 4, FALSE)) * D1116, "")</f>
        <v/>
      </c>
    </row>
    <row r="1117" spans="7:11" x14ac:dyDescent="0.25">
      <c r="G1117" s="12" t="str">
        <f t="shared" si="51"/>
        <v/>
      </c>
      <c r="I1117" s="12" t="str">
        <f t="shared" si="52"/>
        <v/>
      </c>
      <c r="J1117" s="12" t="str">
        <f t="shared" si="53"/>
        <v/>
      </c>
      <c r="K1117" s="12" t="str">
        <f>IFERROR((E1117 - VLOOKUP(C1117, 'Stock Entry'!B:E, 4, FALSE)) * D1117, "")</f>
        <v/>
      </c>
    </row>
    <row r="1118" spans="7:11" x14ac:dyDescent="0.25">
      <c r="G1118" s="12" t="str">
        <f t="shared" si="51"/>
        <v/>
      </c>
      <c r="I1118" s="12" t="str">
        <f t="shared" si="52"/>
        <v/>
      </c>
      <c r="J1118" s="12" t="str">
        <f t="shared" si="53"/>
        <v/>
      </c>
      <c r="K1118" s="12" t="str">
        <f>IFERROR((E1118 - VLOOKUP(C1118, 'Stock Entry'!B:E, 4, FALSE)) * D1118, "")</f>
        <v/>
      </c>
    </row>
    <row r="1119" spans="7:11" x14ac:dyDescent="0.25">
      <c r="G1119" s="12" t="str">
        <f t="shared" si="51"/>
        <v/>
      </c>
      <c r="I1119" s="12" t="str">
        <f t="shared" si="52"/>
        <v/>
      </c>
      <c r="J1119" s="12" t="str">
        <f t="shared" si="53"/>
        <v/>
      </c>
      <c r="K1119" s="12" t="str">
        <f>IFERROR((E1119 - VLOOKUP(C1119, 'Stock Entry'!B:E, 4, FALSE)) * D1119, "")</f>
        <v/>
      </c>
    </row>
    <row r="1120" spans="7:11" x14ac:dyDescent="0.25">
      <c r="G1120" s="12" t="str">
        <f t="shared" si="51"/>
        <v/>
      </c>
      <c r="I1120" s="12" t="str">
        <f t="shared" si="52"/>
        <v/>
      </c>
      <c r="J1120" s="12" t="str">
        <f t="shared" si="53"/>
        <v/>
      </c>
      <c r="K1120" s="12" t="str">
        <f>IFERROR((E1120 - VLOOKUP(C1120, 'Stock Entry'!B:E, 4, FALSE)) * D1120, "")</f>
        <v/>
      </c>
    </row>
    <row r="1121" spans="7:11" x14ac:dyDescent="0.25">
      <c r="G1121" s="12" t="str">
        <f t="shared" si="51"/>
        <v/>
      </c>
      <c r="I1121" s="12" t="str">
        <f t="shared" si="52"/>
        <v/>
      </c>
      <c r="J1121" s="12" t="str">
        <f t="shared" si="53"/>
        <v/>
      </c>
      <c r="K1121" s="12" t="str">
        <f>IFERROR((E1121 - VLOOKUP(C1121, 'Stock Entry'!B:E, 4, FALSE)) * D1121, "")</f>
        <v/>
      </c>
    </row>
    <row r="1122" spans="7:11" x14ac:dyDescent="0.25">
      <c r="G1122" s="12" t="str">
        <f t="shared" si="51"/>
        <v/>
      </c>
      <c r="I1122" s="12" t="str">
        <f t="shared" si="52"/>
        <v/>
      </c>
      <c r="J1122" s="12" t="str">
        <f t="shared" si="53"/>
        <v/>
      </c>
      <c r="K1122" s="12" t="str">
        <f>IFERROR((E1122 - VLOOKUP(C1122, 'Stock Entry'!B:E, 4, FALSE)) * D1122, "")</f>
        <v/>
      </c>
    </row>
    <row r="1123" spans="7:11" x14ac:dyDescent="0.25">
      <c r="G1123" s="12" t="str">
        <f t="shared" si="51"/>
        <v/>
      </c>
      <c r="I1123" s="12" t="str">
        <f t="shared" si="52"/>
        <v/>
      </c>
      <c r="J1123" s="12" t="str">
        <f t="shared" si="53"/>
        <v/>
      </c>
      <c r="K1123" s="12" t="str">
        <f>IFERROR((E1123 - VLOOKUP(C1123, 'Stock Entry'!B:E, 4, FALSE)) * D1123, "")</f>
        <v/>
      </c>
    </row>
    <row r="1124" spans="7:11" x14ac:dyDescent="0.25">
      <c r="G1124" s="12" t="str">
        <f t="shared" si="51"/>
        <v/>
      </c>
      <c r="I1124" s="12" t="str">
        <f t="shared" si="52"/>
        <v/>
      </c>
      <c r="J1124" s="12" t="str">
        <f t="shared" si="53"/>
        <v/>
      </c>
      <c r="K1124" s="12" t="str">
        <f>IFERROR((E1124 - VLOOKUP(C1124, 'Stock Entry'!B:E, 4, FALSE)) * D1124, "")</f>
        <v/>
      </c>
    </row>
    <row r="1125" spans="7:11" x14ac:dyDescent="0.25">
      <c r="G1125" s="12" t="str">
        <f t="shared" si="51"/>
        <v/>
      </c>
      <c r="I1125" s="12" t="str">
        <f t="shared" si="52"/>
        <v/>
      </c>
      <c r="J1125" s="12" t="str">
        <f t="shared" si="53"/>
        <v/>
      </c>
      <c r="K1125" s="12" t="str">
        <f>IFERROR((E1125 - VLOOKUP(C1125, 'Stock Entry'!B:E, 4, FALSE)) * D1125, "")</f>
        <v/>
      </c>
    </row>
    <row r="1126" spans="7:11" x14ac:dyDescent="0.25">
      <c r="G1126" s="12" t="str">
        <f t="shared" si="51"/>
        <v/>
      </c>
      <c r="I1126" s="12" t="str">
        <f t="shared" si="52"/>
        <v/>
      </c>
      <c r="J1126" s="12" t="str">
        <f t="shared" si="53"/>
        <v/>
      </c>
      <c r="K1126" s="12" t="str">
        <f>IFERROR((E1126 - VLOOKUP(C1126, 'Stock Entry'!B:E, 4, FALSE)) * D1126, "")</f>
        <v/>
      </c>
    </row>
    <row r="1127" spans="7:11" x14ac:dyDescent="0.25">
      <c r="G1127" s="12" t="str">
        <f t="shared" si="51"/>
        <v/>
      </c>
      <c r="I1127" s="12" t="str">
        <f t="shared" si="52"/>
        <v/>
      </c>
      <c r="J1127" s="12" t="str">
        <f t="shared" si="53"/>
        <v/>
      </c>
      <c r="K1127" s="12" t="str">
        <f>IFERROR((E1127 - VLOOKUP(C1127, 'Stock Entry'!B:E, 4, FALSE)) * D1127, "")</f>
        <v/>
      </c>
    </row>
    <row r="1128" spans="7:11" x14ac:dyDescent="0.25">
      <c r="G1128" s="12" t="str">
        <f t="shared" si="51"/>
        <v/>
      </c>
      <c r="I1128" s="12" t="str">
        <f t="shared" si="52"/>
        <v/>
      </c>
      <c r="J1128" s="12" t="str">
        <f t="shared" si="53"/>
        <v/>
      </c>
      <c r="K1128" s="12" t="str">
        <f>IFERROR((E1128 - VLOOKUP(C1128, 'Stock Entry'!B:E, 4, FALSE)) * D1128, "")</f>
        <v/>
      </c>
    </row>
    <row r="1129" spans="7:11" x14ac:dyDescent="0.25">
      <c r="G1129" s="12" t="str">
        <f t="shared" si="51"/>
        <v/>
      </c>
      <c r="I1129" s="12" t="str">
        <f t="shared" si="52"/>
        <v/>
      </c>
      <c r="J1129" s="12" t="str">
        <f t="shared" si="53"/>
        <v/>
      </c>
      <c r="K1129" s="12" t="str">
        <f>IFERROR((E1129 - VLOOKUP(C1129, 'Stock Entry'!B:E, 4, FALSE)) * D1129, "")</f>
        <v/>
      </c>
    </row>
    <row r="1130" spans="7:11" x14ac:dyDescent="0.25">
      <c r="G1130" s="12" t="str">
        <f t="shared" si="51"/>
        <v/>
      </c>
      <c r="I1130" s="12" t="str">
        <f t="shared" si="52"/>
        <v/>
      </c>
      <c r="J1130" s="12" t="str">
        <f t="shared" si="53"/>
        <v/>
      </c>
      <c r="K1130" s="12" t="str">
        <f>IFERROR((E1130 - VLOOKUP(C1130, 'Stock Entry'!B:E, 4, FALSE)) * D1130, "")</f>
        <v/>
      </c>
    </row>
    <row r="1131" spans="7:11" x14ac:dyDescent="0.25">
      <c r="G1131" s="12" t="str">
        <f t="shared" si="51"/>
        <v/>
      </c>
      <c r="I1131" s="12" t="str">
        <f t="shared" si="52"/>
        <v/>
      </c>
      <c r="J1131" s="12" t="str">
        <f t="shared" si="53"/>
        <v/>
      </c>
      <c r="K1131" s="12" t="str">
        <f>IFERROR((E1131 - VLOOKUP(C1131, 'Stock Entry'!B:E, 4, FALSE)) * D1131, "")</f>
        <v/>
      </c>
    </row>
    <row r="1132" spans="7:11" x14ac:dyDescent="0.25">
      <c r="G1132" s="12" t="str">
        <f t="shared" si="51"/>
        <v/>
      </c>
      <c r="I1132" s="12" t="str">
        <f t="shared" si="52"/>
        <v/>
      </c>
      <c r="J1132" s="12" t="str">
        <f t="shared" si="53"/>
        <v/>
      </c>
      <c r="K1132" s="12" t="str">
        <f>IFERROR((E1132 - VLOOKUP(C1132, 'Stock Entry'!B:E, 4, FALSE)) * D1132, "")</f>
        <v/>
      </c>
    </row>
    <row r="1133" spans="7:11" x14ac:dyDescent="0.25">
      <c r="G1133" s="12" t="str">
        <f t="shared" si="51"/>
        <v/>
      </c>
      <c r="I1133" s="12" t="str">
        <f t="shared" si="52"/>
        <v/>
      </c>
      <c r="J1133" s="12" t="str">
        <f t="shared" si="53"/>
        <v/>
      </c>
      <c r="K1133" s="12" t="str">
        <f>IFERROR((E1133 - VLOOKUP(C1133, 'Stock Entry'!B:E, 4, FALSE)) * D1133, "")</f>
        <v/>
      </c>
    </row>
    <row r="1134" spans="7:11" x14ac:dyDescent="0.25">
      <c r="G1134" s="12" t="str">
        <f t="shared" si="51"/>
        <v/>
      </c>
      <c r="I1134" s="12" t="str">
        <f t="shared" si="52"/>
        <v/>
      </c>
      <c r="J1134" s="12" t="str">
        <f t="shared" si="53"/>
        <v/>
      </c>
      <c r="K1134" s="12" t="str">
        <f>IFERROR((E1134 - VLOOKUP(C1134, 'Stock Entry'!B:E, 4, FALSE)) * D1134, "")</f>
        <v/>
      </c>
    </row>
    <row r="1135" spans="7:11" x14ac:dyDescent="0.25">
      <c r="G1135" s="12" t="str">
        <f t="shared" si="51"/>
        <v/>
      </c>
      <c r="I1135" s="12" t="str">
        <f t="shared" si="52"/>
        <v/>
      </c>
      <c r="J1135" s="12" t="str">
        <f t="shared" si="53"/>
        <v/>
      </c>
      <c r="K1135" s="12" t="str">
        <f>IFERROR((E1135 - VLOOKUP(C1135, 'Stock Entry'!B:E, 4, FALSE)) * D1135, "")</f>
        <v/>
      </c>
    </row>
    <row r="1136" spans="7:11" x14ac:dyDescent="0.25">
      <c r="G1136" s="12" t="str">
        <f t="shared" si="51"/>
        <v/>
      </c>
      <c r="I1136" s="12" t="str">
        <f t="shared" si="52"/>
        <v/>
      </c>
      <c r="J1136" s="12" t="str">
        <f t="shared" si="53"/>
        <v/>
      </c>
      <c r="K1136" s="12" t="str">
        <f>IFERROR((E1136 - VLOOKUP(C1136, 'Stock Entry'!B:E, 4, FALSE)) * D1136, "")</f>
        <v/>
      </c>
    </row>
    <row r="1137" spans="7:11" x14ac:dyDescent="0.25">
      <c r="G1137" s="12" t="str">
        <f t="shared" si="51"/>
        <v/>
      </c>
      <c r="I1137" s="12" t="str">
        <f t="shared" si="52"/>
        <v/>
      </c>
      <c r="J1137" s="12" t="str">
        <f t="shared" si="53"/>
        <v/>
      </c>
      <c r="K1137" s="12" t="str">
        <f>IFERROR((E1137 - VLOOKUP(C1137, 'Stock Entry'!B:E, 4, FALSE)) * D1137, "")</f>
        <v/>
      </c>
    </row>
    <row r="1138" spans="7:11" x14ac:dyDescent="0.25">
      <c r="G1138" s="12" t="str">
        <f t="shared" si="51"/>
        <v/>
      </c>
      <c r="I1138" s="12" t="str">
        <f t="shared" si="52"/>
        <v/>
      </c>
      <c r="J1138" s="12" t="str">
        <f t="shared" si="53"/>
        <v/>
      </c>
      <c r="K1138" s="12" t="str">
        <f>IFERROR((E1138 - VLOOKUP(C1138, 'Stock Entry'!B:E, 4, FALSE)) * D1138, "")</f>
        <v/>
      </c>
    </row>
    <row r="1139" spans="7:11" x14ac:dyDescent="0.25">
      <c r="G1139" s="12" t="str">
        <f t="shared" si="51"/>
        <v/>
      </c>
      <c r="I1139" s="12" t="str">
        <f t="shared" si="52"/>
        <v/>
      </c>
      <c r="J1139" s="12" t="str">
        <f t="shared" si="53"/>
        <v/>
      </c>
      <c r="K1139" s="12" t="str">
        <f>IFERROR((E1139 - VLOOKUP(C1139, 'Stock Entry'!B:E, 4, FALSE)) * D1139, "")</f>
        <v/>
      </c>
    </row>
    <row r="1140" spans="7:11" x14ac:dyDescent="0.25">
      <c r="G1140" s="12" t="str">
        <f t="shared" si="51"/>
        <v/>
      </c>
      <c r="I1140" s="12" t="str">
        <f t="shared" si="52"/>
        <v/>
      </c>
      <c r="J1140" s="12" t="str">
        <f t="shared" si="53"/>
        <v/>
      </c>
      <c r="K1140" s="12" t="str">
        <f>IFERROR((E1140 - VLOOKUP(C1140, 'Stock Entry'!B:E, 4, FALSE)) * D1140, "")</f>
        <v/>
      </c>
    </row>
    <row r="1141" spans="7:11" x14ac:dyDescent="0.25">
      <c r="G1141" s="12" t="str">
        <f t="shared" si="51"/>
        <v/>
      </c>
      <c r="I1141" s="12" t="str">
        <f t="shared" si="52"/>
        <v/>
      </c>
      <c r="J1141" s="12" t="str">
        <f t="shared" si="53"/>
        <v/>
      </c>
      <c r="K1141" s="12" t="str">
        <f>IFERROR((E1141 - VLOOKUP(C1141, 'Stock Entry'!B:E, 4, FALSE)) * D1141, "")</f>
        <v/>
      </c>
    </row>
    <row r="1142" spans="7:11" x14ac:dyDescent="0.25">
      <c r="G1142" s="12" t="str">
        <f t="shared" si="51"/>
        <v/>
      </c>
      <c r="I1142" s="12" t="str">
        <f t="shared" si="52"/>
        <v/>
      </c>
      <c r="J1142" s="12" t="str">
        <f t="shared" si="53"/>
        <v/>
      </c>
      <c r="K1142" s="12" t="str">
        <f>IFERROR((E1142 - VLOOKUP(C1142, 'Stock Entry'!B:E, 4, FALSE)) * D1142, "")</f>
        <v/>
      </c>
    </row>
    <row r="1143" spans="7:11" x14ac:dyDescent="0.25">
      <c r="G1143" s="12" t="str">
        <f t="shared" si="51"/>
        <v/>
      </c>
      <c r="I1143" s="12" t="str">
        <f t="shared" si="52"/>
        <v/>
      </c>
      <c r="J1143" s="12" t="str">
        <f t="shared" si="53"/>
        <v/>
      </c>
      <c r="K1143" s="12" t="str">
        <f>IFERROR((E1143 - VLOOKUP(C1143, 'Stock Entry'!B:E, 4, FALSE)) * D1143, "")</f>
        <v/>
      </c>
    </row>
    <row r="1144" spans="7:11" x14ac:dyDescent="0.25">
      <c r="G1144" s="12" t="str">
        <f t="shared" si="51"/>
        <v/>
      </c>
      <c r="I1144" s="12" t="str">
        <f t="shared" si="52"/>
        <v/>
      </c>
      <c r="J1144" s="12" t="str">
        <f t="shared" si="53"/>
        <v/>
      </c>
      <c r="K1144" s="12" t="str">
        <f>IFERROR((E1144 - VLOOKUP(C1144, 'Stock Entry'!B:E, 4, FALSE)) * D1144, "")</f>
        <v/>
      </c>
    </row>
    <row r="1145" spans="7:11" x14ac:dyDescent="0.25">
      <c r="G1145" s="12" t="str">
        <f t="shared" si="51"/>
        <v/>
      </c>
      <c r="I1145" s="12" t="str">
        <f t="shared" si="52"/>
        <v/>
      </c>
      <c r="J1145" s="12" t="str">
        <f t="shared" si="53"/>
        <v/>
      </c>
      <c r="K1145" s="12" t="str">
        <f>IFERROR((E1145 - VLOOKUP(C1145, 'Stock Entry'!B:E, 4, FALSE)) * D1145, "")</f>
        <v/>
      </c>
    </row>
    <row r="1146" spans="7:11" x14ac:dyDescent="0.25">
      <c r="G1146" s="12" t="str">
        <f t="shared" si="51"/>
        <v/>
      </c>
      <c r="I1146" s="12" t="str">
        <f t="shared" si="52"/>
        <v/>
      </c>
      <c r="J1146" s="12" t="str">
        <f t="shared" si="53"/>
        <v/>
      </c>
      <c r="K1146" s="12" t="str">
        <f>IFERROR((E1146 - VLOOKUP(C1146, 'Stock Entry'!B:E, 4, FALSE)) * D1146, "")</f>
        <v/>
      </c>
    </row>
    <row r="1147" spans="7:11" x14ac:dyDescent="0.25">
      <c r="G1147" s="12" t="str">
        <f t="shared" si="51"/>
        <v/>
      </c>
      <c r="I1147" s="12" t="str">
        <f t="shared" si="52"/>
        <v/>
      </c>
      <c r="J1147" s="12" t="str">
        <f t="shared" si="53"/>
        <v/>
      </c>
      <c r="K1147" s="12" t="str">
        <f>IFERROR((E1147 - VLOOKUP(C1147, 'Stock Entry'!B:E, 4, FALSE)) * D1147, "")</f>
        <v/>
      </c>
    </row>
    <row r="1148" spans="7:11" x14ac:dyDescent="0.25">
      <c r="G1148" s="12" t="str">
        <f t="shared" si="51"/>
        <v/>
      </c>
      <c r="I1148" s="12" t="str">
        <f t="shared" si="52"/>
        <v/>
      </c>
      <c r="J1148" s="12" t="str">
        <f t="shared" si="53"/>
        <v/>
      </c>
      <c r="K1148" s="12" t="str">
        <f>IFERROR((E1148 - VLOOKUP(C1148, 'Stock Entry'!B:E, 4, FALSE)) * D1148, "")</f>
        <v/>
      </c>
    </row>
    <row r="1149" spans="7:11" x14ac:dyDescent="0.25">
      <c r="G1149" s="12" t="str">
        <f t="shared" si="51"/>
        <v/>
      </c>
      <c r="I1149" s="12" t="str">
        <f t="shared" si="52"/>
        <v/>
      </c>
      <c r="J1149" s="12" t="str">
        <f t="shared" si="53"/>
        <v/>
      </c>
      <c r="K1149" s="12" t="str">
        <f>IFERROR((E1149 - VLOOKUP(C1149, 'Stock Entry'!B:E, 4, FALSE)) * D1149, "")</f>
        <v/>
      </c>
    </row>
    <row r="1150" spans="7:11" x14ac:dyDescent="0.25">
      <c r="G1150" s="12" t="str">
        <f t="shared" si="51"/>
        <v/>
      </c>
      <c r="I1150" s="12" t="str">
        <f t="shared" si="52"/>
        <v/>
      </c>
      <c r="J1150" s="12" t="str">
        <f t="shared" si="53"/>
        <v/>
      </c>
      <c r="K1150" s="12" t="str">
        <f>IFERROR((E1150 - VLOOKUP(C1150, 'Stock Entry'!B:E, 4, FALSE)) * D1150, "")</f>
        <v/>
      </c>
    </row>
    <row r="1151" spans="7:11" x14ac:dyDescent="0.25">
      <c r="G1151" s="12" t="str">
        <f t="shared" si="51"/>
        <v/>
      </c>
      <c r="I1151" s="12" t="str">
        <f t="shared" si="52"/>
        <v/>
      </c>
      <c r="J1151" s="12" t="str">
        <f t="shared" si="53"/>
        <v/>
      </c>
      <c r="K1151" s="12" t="str">
        <f>IFERROR((E1151 - VLOOKUP(C1151, 'Stock Entry'!B:E, 4, FALSE)) * D1151, "")</f>
        <v/>
      </c>
    </row>
    <row r="1152" spans="7:11" x14ac:dyDescent="0.25">
      <c r="G1152" s="12" t="str">
        <f t="shared" si="51"/>
        <v/>
      </c>
      <c r="I1152" s="12" t="str">
        <f t="shared" si="52"/>
        <v/>
      </c>
      <c r="J1152" s="12" t="str">
        <f t="shared" si="53"/>
        <v/>
      </c>
      <c r="K1152" s="12" t="str">
        <f>IFERROR((E1152 - VLOOKUP(C1152, 'Stock Entry'!B:E, 4, FALSE)) * D1152, "")</f>
        <v/>
      </c>
    </row>
    <row r="1153" spans="7:11" x14ac:dyDescent="0.25">
      <c r="G1153" s="12" t="str">
        <f t="shared" si="51"/>
        <v/>
      </c>
      <c r="I1153" s="12" t="str">
        <f t="shared" si="52"/>
        <v/>
      </c>
      <c r="J1153" s="12" t="str">
        <f t="shared" si="53"/>
        <v/>
      </c>
      <c r="K1153" s="12" t="str">
        <f>IFERROR((E1153 - VLOOKUP(C1153, 'Stock Entry'!B:E, 4, FALSE)) * D1153, "")</f>
        <v/>
      </c>
    </row>
    <row r="1154" spans="7:11" x14ac:dyDescent="0.25">
      <c r="G1154" s="12" t="str">
        <f t="shared" si="51"/>
        <v/>
      </c>
      <c r="I1154" s="12" t="str">
        <f t="shared" si="52"/>
        <v/>
      </c>
      <c r="J1154" s="12" t="str">
        <f t="shared" si="53"/>
        <v/>
      </c>
      <c r="K1154" s="12" t="str">
        <f>IFERROR((E1154 - VLOOKUP(C1154, 'Stock Entry'!B:E, 4, FALSE)) * D1154, "")</f>
        <v/>
      </c>
    </row>
    <row r="1155" spans="7:11" x14ac:dyDescent="0.25">
      <c r="G1155" s="12" t="str">
        <f t="shared" ref="G1155:G1218" si="54">IF(F1155="Full Cash", D1155*E1155, "")</f>
        <v/>
      </c>
      <c r="I1155" s="12" t="str">
        <f t="shared" ref="I1155:I1218" si="55">IF(F1155="Full Credit",D1155*E1155,IF(F1155="Partly Payment",(D1155*E1155)-H1155,""))</f>
        <v/>
      </c>
      <c r="J1155" s="12" t="str">
        <f t="shared" ref="J1155:J1218" si="56">IF(F1155="Full Cash", G1155, IF(F1155="Full Credit", I1155, IF(F1155="Partly Payment", H1155+I1155, "")))</f>
        <v/>
      </c>
      <c r="K1155" s="12" t="str">
        <f>IFERROR((E1155 - VLOOKUP(C1155, 'Stock Entry'!B:E, 4, FALSE)) * D1155, "")</f>
        <v/>
      </c>
    </row>
    <row r="1156" spans="7:11" x14ac:dyDescent="0.25">
      <c r="G1156" s="12" t="str">
        <f t="shared" si="54"/>
        <v/>
      </c>
      <c r="I1156" s="12" t="str">
        <f t="shared" si="55"/>
        <v/>
      </c>
      <c r="J1156" s="12" t="str">
        <f t="shared" si="56"/>
        <v/>
      </c>
      <c r="K1156" s="12" t="str">
        <f>IFERROR((E1156 - VLOOKUP(C1156, 'Stock Entry'!B:E, 4, FALSE)) * D1156, "")</f>
        <v/>
      </c>
    </row>
    <row r="1157" spans="7:11" x14ac:dyDescent="0.25">
      <c r="G1157" s="12" t="str">
        <f t="shared" si="54"/>
        <v/>
      </c>
      <c r="I1157" s="12" t="str">
        <f t="shared" si="55"/>
        <v/>
      </c>
      <c r="J1157" s="12" t="str">
        <f t="shared" si="56"/>
        <v/>
      </c>
      <c r="K1157" s="12" t="str">
        <f>IFERROR((E1157 - VLOOKUP(C1157, 'Stock Entry'!B:E, 4, FALSE)) * D1157, "")</f>
        <v/>
      </c>
    </row>
    <row r="1158" spans="7:11" x14ac:dyDescent="0.25">
      <c r="G1158" s="12" t="str">
        <f t="shared" si="54"/>
        <v/>
      </c>
      <c r="I1158" s="12" t="str">
        <f t="shared" si="55"/>
        <v/>
      </c>
      <c r="J1158" s="12" t="str">
        <f t="shared" si="56"/>
        <v/>
      </c>
      <c r="K1158" s="12" t="str">
        <f>IFERROR((E1158 - VLOOKUP(C1158, 'Stock Entry'!B:E, 4, FALSE)) * D1158, "")</f>
        <v/>
      </c>
    </row>
    <row r="1159" spans="7:11" x14ac:dyDescent="0.25">
      <c r="G1159" s="12" t="str">
        <f t="shared" si="54"/>
        <v/>
      </c>
      <c r="I1159" s="12" t="str">
        <f t="shared" si="55"/>
        <v/>
      </c>
      <c r="J1159" s="12" t="str">
        <f t="shared" si="56"/>
        <v/>
      </c>
      <c r="K1159" s="12" t="str">
        <f>IFERROR((E1159 - VLOOKUP(C1159, 'Stock Entry'!B:E, 4, FALSE)) * D1159, "")</f>
        <v/>
      </c>
    </row>
    <row r="1160" spans="7:11" x14ac:dyDescent="0.25">
      <c r="G1160" s="12" t="str">
        <f t="shared" si="54"/>
        <v/>
      </c>
      <c r="I1160" s="12" t="str">
        <f t="shared" si="55"/>
        <v/>
      </c>
      <c r="J1160" s="12" t="str">
        <f t="shared" si="56"/>
        <v/>
      </c>
      <c r="K1160" s="12" t="str">
        <f>IFERROR((E1160 - VLOOKUP(C1160, 'Stock Entry'!B:E, 4, FALSE)) * D1160, "")</f>
        <v/>
      </c>
    </row>
    <row r="1161" spans="7:11" x14ac:dyDescent="0.25">
      <c r="G1161" s="12" t="str">
        <f t="shared" si="54"/>
        <v/>
      </c>
      <c r="I1161" s="12" t="str">
        <f t="shared" si="55"/>
        <v/>
      </c>
      <c r="J1161" s="12" t="str">
        <f t="shared" si="56"/>
        <v/>
      </c>
      <c r="K1161" s="12" t="str">
        <f>IFERROR((E1161 - VLOOKUP(C1161, 'Stock Entry'!B:E, 4, FALSE)) * D1161, "")</f>
        <v/>
      </c>
    </row>
    <row r="1162" spans="7:11" x14ac:dyDescent="0.25">
      <c r="G1162" s="12" t="str">
        <f t="shared" si="54"/>
        <v/>
      </c>
      <c r="I1162" s="12" t="str">
        <f t="shared" si="55"/>
        <v/>
      </c>
      <c r="J1162" s="12" t="str">
        <f t="shared" si="56"/>
        <v/>
      </c>
      <c r="K1162" s="12" t="str">
        <f>IFERROR((E1162 - VLOOKUP(C1162, 'Stock Entry'!B:E, 4, FALSE)) * D1162, "")</f>
        <v/>
      </c>
    </row>
    <row r="1163" spans="7:11" x14ac:dyDescent="0.25">
      <c r="G1163" s="12" t="str">
        <f t="shared" si="54"/>
        <v/>
      </c>
      <c r="I1163" s="12" t="str">
        <f t="shared" si="55"/>
        <v/>
      </c>
      <c r="J1163" s="12" t="str">
        <f t="shared" si="56"/>
        <v/>
      </c>
      <c r="K1163" s="12" t="str">
        <f>IFERROR((E1163 - VLOOKUP(C1163, 'Stock Entry'!B:E, 4, FALSE)) * D1163, "")</f>
        <v/>
      </c>
    </row>
    <row r="1164" spans="7:11" x14ac:dyDescent="0.25">
      <c r="G1164" s="12" t="str">
        <f t="shared" si="54"/>
        <v/>
      </c>
      <c r="I1164" s="12" t="str">
        <f t="shared" si="55"/>
        <v/>
      </c>
      <c r="J1164" s="12" t="str">
        <f t="shared" si="56"/>
        <v/>
      </c>
      <c r="K1164" s="12" t="str">
        <f>IFERROR((E1164 - VLOOKUP(C1164, 'Stock Entry'!B:E, 4, FALSE)) * D1164, "")</f>
        <v/>
      </c>
    </row>
    <row r="1165" spans="7:11" x14ac:dyDescent="0.25">
      <c r="G1165" s="12" t="str">
        <f t="shared" si="54"/>
        <v/>
      </c>
      <c r="I1165" s="12" t="str">
        <f t="shared" si="55"/>
        <v/>
      </c>
      <c r="J1165" s="12" t="str">
        <f t="shared" si="56"/>
        <v/>
      </c>
      <c r="K1165" s="12" t="str">
        <f>IFERROR((E1165 - VLOOKUP(C1165, 'Stock Entry'!B:E, 4, FALSE)) * D1165, "")</f>
        <v/>
      </c>
    </row>
    <row r="1166" spans="7:11" x14ac:dyDescent="0.25">
      <c r="G1166" s="12" t="str">
        <f t="shared" si="54"/>
        <v/>
      </c>
      <c r="I1166" s="12" t="str">
        <f t="shared" si="55"/>
        <v/>
      </c>
      <c r="J1166" s="12" t="str">
        <f t="shared" si="56"/>
        <v/>
      </c>
      <c r="K1166" s="12" t="str">
        <f>IFERROR((E1166 - VLOOKUP(C1166, 'Stock Entry'!B:E, 4, FALSE)) * D1166, "")</f>
        <v/>
      </c>
    </row>
    <row r="1167" spans="7:11" x14ac:dyDescent="0.25">
      <c r="G1167" s="12" t="str">
        <f t="shared" si="54"/>
        <v/>
      </c>
      <c r="I1167" s="12" t="str">
        <f t="shared" si="55"/>
        <v/>
      </c>
      <c r="J1167" s="12" t="str">
        <f t="shared" si="56"/>
        <v/>
      </c>
      <c r="K1167" s="12" t="str">
        <f>IFERROR((E1167 - VLOOKUP(C1167, 'Stock Entry'!B:E, 4, FALSE)) * D1167, "")</f>
        <v/>
      </c>
    </row>
    <row r="1168" spans="7:11" x14ac:dyDescent="0.25">
      <c r="G1168" s="12" t="str">
        <f t="shared" si="54"/>
        <v/>
      </c>
      <c r="I1168" s="12" t="str">
        <f t="shared" si="55"/>
        <v/>
      </c>
      <c r="J1168" s="12" t="str">
        <f t="shared" si="56"/>
        <v/>
      </c>
      <c r="K1168" s="12" t="str">
        <f>IFERROR((E1168 - VLOOKUP(C1168, 'Stock Entry'!B:E, 4, FALSE)) * D1168, "")</f>
        <v/>
      </c>
    </row>
    <row r="1169" spans="7:11" x14ac:dyDescent="0.25">
      <c r="G1169" s="12" t="str">
        <f t="shared" si="54"/>
        <v/>
      </c>
      <c r="I1169" s="12" t="str">
        <f t="shared" si="55"/>
        <v/>
      </c>
      <c r="J1169" s="12" t="str">
        <f t="shared" si="56"/>
        <v/>
      </c>
      <c r="K1169" s="12" t="str">
        <f>IFERROR((E1169 - VLOOKUP(C1169, 'Stock Entry'!B:E, 4, FALSE)) * D1169, "")</f>
        <v/>
      </c>
    </row>
    <row r="1170" spans="7:11" x14ac:dyDescent="0.25">
      <c r="G1170" s="12" t="str">
        <f t="shared" si="54"/>
        <v/>
      </c>
      <c r="I1170" s="12" t="str">
        <f t="shared" si="55"/>
        <v/>
      </c>
      <c r="J1170" s="12" t="str">
        <f t="shared" si="56"/>
        <v/>
      </c>
      <c r="K1170" s="12" t="str">
        <f>IFERROR((E1170 - VLOOKUP(C1170, 'Stock Entry'!B:E, 4, FALSE)) * D1170, "")</f>
        <v/>
      </c>
    </row>
    <row r="1171" spans="7:11" x14ac:dyDescent="0.25">
      <c r="G1171" s="12" t="str">
        <f t="shared" si="54"/>
        <v/>
      </c>
      <c r="I1171" s="12" t="str">
        <f t="shared" si="55"/>
        <v/>
      </c>
      <c r="J1171" s="12" t="str">
        <f t="shared" si="56"/>
        <v/>
      </c>
      <c r="K1171" s="12" t="str">
        <f>IFERROR((E1171 - VLOOKUP(C1171, 'Stock Entry'!B:E, 4, FALSE)) * D1171, "")</f>
        <v/>
      </c>
    </row>
    <row r="1172" spans="7:11" x14ac:dyDescent="0.25">
      <c r="G1172" s="12" t="str">
        <f t="shared" si="54"/>
        <v/>
      </c>
      <c r="I1172" s="12" t="str">
        <f t="shared" si="55"/>
        <v/>
      </c>
      <c r="J1172" s="12" t="str">
        <f t="shared" si="56"/>
        <v/>
      </c>
      <c r="K1172" s="12" t="str">
        <f>IFERROR((E1172 - VLOOKUP(C1172, 'Stock Entry'!B:E, 4, FALSE)) * D1172, "")</f>
        <v/>
      </c>
    </row>
    <row r="1173" spans="7:11" x14ac:dyDescent="0.25">
      <c r="G1173" s="12" t="str">
        <f t="shared" si="54"/>
        <v/>
      </c>
      <c r="I1173" s="12" t="str">
        <f t="shared" si="55"/>
        <v/>
      </c>
      <c r="J1173" s="12" t="str">
        <f t="shared" si="56"/>
        <v/>
      </c>
      <c r="K1173" s="12" t="str">
        <f>IFERROR((E1173 - VLOOKUP(C1173, 'Stock Entry'!B:E, 4, FALSE)) * D1173, "")</f>
        <v/>
      </c>
    </row>
    <row r="1174" spans="7:11" x14ac:dyDescent="0.25">
      <c r="G1174" s="12" t="str">
        <f t="shared" si="54"/>
        <v/>
      </c>
      <c r="I1174" s="12" t="str">
        <f t="shared" si="55"/>
        <v/>
      </c>
      <c r="J1174" s="12" t="str">
        <f t="shared" si="56"/>
        <v/>
      </c>
      <c r="K1174" s="12" t="str">
        <f>IFERROR((E1174 - VLOOKUP(C1174, 'Stock Entry'!B:E, 4, FALSE)) * D1174, "")</f>
        <v/>
      </c>
    </row>
    <row r="1175" spans="7:11" x14ac:dyDescent="0.25">
      <c r="G1175" s="12" t="str">
        <f t="shared" si="54"/>
        <v/>
      </c>
      <c r="I1175" s="12" t="str">
        <f t="shared" si="55"/>
        <v/>
      </c>
      <c r="J1175" s="12" t="str">
        <f t="shared" si="56"/>
        <v/>
      </c>
      <c r="K1175" s="12" t="str">
        <f>IFERROR((E1175 - VLOOKUP(C1175, 'Stock Entry'!B:E, 4, FALSE)) * D1175, "")</f>
        <v/>
      </c>
    </row>
    <row r="1176" spans="7:11" x14ac:dyDescent="0.25">
      <c r="G1176" s="12" t="str">
        <f t="shared" si="54"/>
        <v/>
      </c>
      <c r="I1176" s="12" t="str">
        <f t="shared" si="55"/>
        <v/>
      </c>
      <c r="J1176" s="12" t="str">
        <f t="shared" si="56"/>
        <v/>
      </c>
      <c r="K1176" s="12" t="str">
        <f>IFERROR((E1176 - VLOOKUP(C1176, 'Stock Entry'!B:E, 4, FALSE)) * D1176, "")</f>
        <v/>
      </c>
    </row>
    <row r="1177" spans="7:11" x14ac:dyDescent="0.25">
      <c r="G1177" s="12" t="str">
        <f t="shared" si="54"/>
        <v/>
      </c>
      <c r="I1177" s="12" t="str">
        <f t="shared" si="55"/>
        <v/>
      </c>
      <c r="J1177" s="12" t="str">
        <f t="shared" si="56"/>
        <v/>
      </c>
      <c r="K1177" s="12" t="str">
        <f>IFERROR((E1177 - VLOOKUP(C1177, 'Stock Entry'!B:E, 4, FALSE)) * D1177, "")</f>
        <v/>
      </c>
    </row>
    <row r="1178" spans="7:11" x14ac:dyDescent="0.25">
      <c r="G1178" s="12" t="str">
        <f t="shared" si="54"/>
        <v/>
      </c>
      <c r="I1178" s="12" t="str">
        <f t="shared" si="55"/>
        <v/>
      </c>
      <c r="J1178" s="12" t="str">
        <f t="shared" si="56"/>
        <v/>
      </c>
      <c r="K1178" s="12" t="str">
        <f>IFERROR((E1178 - VLOOKUP(C1178, 'Stock Entry'!B:E, 4, FALSE)) * D1178, "")</f>
        <v/>
      </c>
    </row>
    <row r="1179" spans="7:11" x14ac:dyDescent="0.25">
      <c r="G1179" s="12" t="str">
        <f t="shared" si="54"/>
        <v/>
      </c>
      <c r="I1179" s="12" t="str">
        <f t="shared" si="55"/>
        <v/>
      </c>
      <c r="J1179" s="12" t="str">
        <f t="shared" si="56"/>
        <v/>
      </c>
      <c r="K1179" s="12" t="str">
        <f>IFERROR((E1179 - VLOOKUP(C1179, 'Stock Entry'!B:E, 4, FALSE)) * D1179, "")</f>
        <v/>
      </c>
    </row>
    <row r="1180" spans="7:11" x14ac:dyDescent="0.25">
      <c r="G1180" s="12" t="str">
        <f t="shared" si="54"/>
        <v/>
      </c>
      <c r="I1180" s="12" t="str">
        <f t="shared" si="55"/>
        <v/>
      </c>
      <c r="J1180" s="12" t="str">
        <f t="shared" si="56"/>
        <v/>
      </c>
      <c r="K1180" s="12" t="str">
        <f>IFERROR((E1180 - VLOOKUP(C1180, 'Stock Entry'!B:E, 4, FALSE)) * D1180, "")</f>
        <v/>
      </c>
    </row>
    <row r="1181" spans="7:11" x14ac:dyDescent="0.25">
      <c r="G1181" s="12" t="str">
        <f t="shared" si="54"/>
        <v/>
      </c>
      <c r="I1181" s="12" t="str">
        <f t="shared" si="55"/>
        <v/>
      </c>
      <c r="J1181" s="12" t="str">
        <f t="shared" si="56"/>
        <v/>
      </c>
      <c r="K1181" s="12" t="str">
        <f>IFERROR((E1181 - VLOOKUP(C1181, 'Stock Entry'!B:E, 4, FALSE)) * D1181, "")</f>
        <v/>
      </c>
    </row>
    <row r="1182" spans="7:11" x14ac:dyDescent="0.25">
      <c r="G1182" s="12" t="str">
        <f t="shared" si="54"/>
        <v/>
      </c>
      <c r="I1182" s="12" t="str">
        <f t="shared" si="55"/>
        <v/>
      </c>
      <c r="J1182" s="12" t="str">
        <f t="shared" si="56"/>
        <v/>
      </c>
      <c r="K1182" s="12" t="str">
        <f>IFERROR((E1182 - VLOOKUP(C1182, 'Stock Entry'!B:E, 4, FALSE)) * D1182, "")</f>
        <v/>
      </c>
    </row>
    <row r="1183" spans="7:11" x14ac:dyDescent="0.25">
      <c r="G1183" s="12" t="str">
        <f t="shared" si="54"/>
        <v/>
      </c>
      <c r="I1183" s="12" t="str">
        <f t="shared" si="55"/>
        <v/>
      </c>
      <c r="J1183" s="12" t="str">
        <f t="shared" si="56"/>
        <v/>
      </c>
      <c r="K1183" s="12" t="str">
        <f>IFERROR((E1183 - VLOOKUP(C1183, 'Stock Entry'!B:E, 4, FALSE)) * D1183, "")</f>
        <v/>
      </c>
    </row>
    <row r="1184" spans="7:11" x14ac:dyDescent="0.25">
      <c r="G1184" s="12" t="str">
        <f t="shared" si="54"/>
        <v/>
      </c>
      <c r="I1184" s="12" t="str">
        <f t="shared" si="55"/>
        <v/>
      </c>
      <c r="J1184" s="12" t="str">
        <f t="shared" si="56"/>
        <v/>
      </c>
      <c r="K1184" s="12" t="str">
        <f>IFERROR((E1184 - VLOOKUP(C1184, 'Stock Entry'!B:E, 4, FALSE)) * D1184, "")</f>
        <v/>
      </c>
    </row>
    <row r="1185" spans="7:11" x14ac:dyDescent="0.25">
      <c r="G1185" s="12" t="str">
        <f t="shared" si="54"/>
        <v/>
      </c>
      <c r="I1185" s="12" t="str">
        <f t="shared" si="55"/>
        <v/>
      </c>
      <c r="J1185" s="12" t="str">
        <f t="shared" si="56"/>
        <v/>
      </c>
      <c r="K1185" s="12" t="str">
        <f>IFERROR((E1185 - VLOOKUP(C1185, 'Stock Entry'!B:E, 4, FALSE)) * D1185, "")</f>
        <v/>
      </c>
    </row>
    <row r="1186" spans="7:11" x14ac:dyDescent="0.25">
      <c r="G1186" s="12" t="str">
        <f t="shared" si="54"/>
        <v/>
      </c>
      <c r="I1186" s="12" t="str">
        <f t="shared" si="55"/>
        <v/>
      </c>
      <c r="J1186" s="12" t="str">
        <f t="shared" si="56"/>
        <v/>
      </c>
      <c r="K1186" s="12" t="str">
        <f>IFERROR((E1186 - VLOOKUP(C1186, 'Stock Entry'!B:E, 4, FALSE)) * D1186, "")</f>
        <v/>
      </c>
    </row>
    <row r="1187" spans="7:11" x14ac:dyDescent="0.25">
      <c r="G1187" s="12" t="str">
        <f t="shared" si="54"/>
        <v/>
      </c>
      <c r="I1187" s="12" t="str">
        <f t="shared" si="55"/>
        <v/>
      </c>
      <c r="J1187" s="12" t="str">
        <f t="shared" si="56"/>
        <v/>
      </c>
      <c r="K1187" s="12" t="str">
        <f>IFERROR((E1187 - VLOOKUP(C1187, 'Stock Entry'!B:E, 4, FALSE)) * D1187, "")</f>
        <v/>
      </c>
    </row>
    <row r="1188" spans="7:11" x14ac:dyDescent="0.25">
      <c r="G1188" s="12" t="str">
        <f t="shared" si="54"/>
        <v/>
      </c>
      <c r="I1188" s="12" t="str">
        <f t="shared" si="55"/>
        <v/>
      </c>
      <c r="J1188" s="12" t="str">
        <f t="shared" si="56"/>
        <v/>
      </c>
      <c r="K1188" s="12" t="str">
        <f>IFERROR((E1188 - VLOOKUP(C1188, 'Stock Entry'!B:E, 4, FALSE)) * D1188, "")</f>
        <v/>
      </c>
    </row>
    <row r="1189" spans="7:11" x14ac:dyDescent="0.25">
      <c r="G1189" s="12" t="str">
        <f t="shared" si="54"/>
        <v/>
      </c>
      <c r="I1189" s="12" t="str">
        <f t="shared" si="55"/>
        <v/>
      </c>
      <c r="J1189" s="12" t="str">
        <f t="shared" si="56"/>
        <v/>
      </c>
      <c r="K1189" s="12" t="str">
        <f>IFERROR((E1189 - VLOOKUP(C1189, 'Stock Entry'!B:E, 4, FALSE)) * D1189, "")</f>
        <v/>
      </c>
    </row>
    <row r="1190" spans="7:11" x14ac:dyDescent="0.25">
      <c r="G1190" s="12" t="str">
        <f t="shared" si="54"/>
        <v/>
      </c>
      <c r="I1190" s="12" t="str">
        <f t="shared" si="55"/>
        <v/>
      </c>
      <c r="J1190" s="12" t="str">
        <f t="shared" si="56"/>
        <v/>
      </c>
      <c r="K1190" s="12" t="str">
        <f>IFERROR((E1190 - VLOOKUP(C1190, 'Stock Entry'!B:E, 4, FALSE)) * D1190, "")</f>
        <v/>
      </c>
    </row>
    <row r="1191" spans="7:11" x14ac:dyDescent="0.25">
      <c r="G1191" s="12" t="str">
        <f t="shared" si="54"/>
        <v/>
      </c>
      <c r="I1191" s="12" t="str">
        <f t="shared" si="55"/>
        <v/>
      </c>
      <c r="J1191" s="12" t="str">
        <f t="shared" si="56"/>
        <v/>
      </c>
      <c r="K1191" s="12" t="str">
        <f>IFERROR((E1191 - VLOOKUP(C1191, 'Stock Entry'!B:E, 4, FALSE)) * D1191, "")</f>
        <v/>
      </c>
    </row>
    <row r="1192" spans="7:11" x14ac:dyDescent="0.25">
      <c r="G1192" s="12" t="str">
        <f t="shared" si="54"/>
        <v/>
      </c>
      <c r="I1192" s="12" t="str">
        <f t="shared" si="55"/>
        <v/>
      </c>
      <c r="J1192" s="12" t="str">
        <f t="shared" si="56"/>
        <v/>
      </c>
      <c r="K1192" s="12" t="str">
        <f>IFERROR((E1192 - VLOOKUP(C1192, 'Stock Entry'!B:E, 4, FALSE)) * D1192, "")</f>
        <v/>
      </c>
    </row>
    <row r="1193" spans="7:11" x14ac:dyDescent="0.25">
      <c r="G1193" s="12" t="str">
        <f t="shared" si="54"/>
        <v/>
      </c>
      <c r="I1193" s="12" t="str">
        <f t="shared" si="55"/>
        <v/>
      </c>
      <c r="J1193" s="12" t="str">
        <f t="shared" si="56"/>
        <v/>
      </c>
      <c r="K1193" s="12" t="str">
        <f>IFERROR((E1193 - VLOOKUP(C1193, 'Stock Entry'!B:E, 4, FALSE)) * D1193, "")</f>
        <v/>
      </c>
    </row>
    <row r="1194" spans="7:11" x14ac:dyDescent="0.25">
      <c r="G1194" s="12" t="str">
        <f t="shared" si="54"/>
        <v/>
      </c>
      <c r="I1194" s="12" t="str">
        <f t="shared" si="55"/>
        <v/>
      </c>
      <c r="J1194" s="12" t="str">
        <f t="shared" si="56"/>
        <v/>
      </c>
      <c r="K1194" s="12" t="str">
        <f>IFERROR((E1194 - VLOOKUP(C1194, 'Stock Entry'!B:E, 4, FALSE)) * D1194, "")</f>
        <v/>
      </c>
    </row>
    <row r="1195" spans="7:11" x14ac:dyDescent="0.25">
      <c r="G1195" s="12" t="str">
        <f t="shared" si="54"/>
        <v/>
      </c>
      <c r="I1195" s="12" t="str">
        <f t="shared" si="55"/>
        <v/>
      </c>
      <c r="J1195" s="12" t="str">
        <f t="shared" si="56"/>
        <v/>
      </c>
      <c r="K1195" s="12" t="str">
        <f>IFERROR((E1195 - VLOOKUP(C1195, 'Stock Entry'!B:E, 4, FALSE)) * D1195, "")</f>
        <v/>
      </c>
    </row>
    <row r="1196" spans="7:11" x14ac:dyDescent="0.25">
      <c r="G1196" s="12" t="str">
        <f t="shared" si="54"/>
        <v/>
      </c>
      <c r="I1196" s="12" t="str">
        <f t="shared" si="55"/>
        <v/>
      </c>
      <c r="J1196" s="12" t="str">
        <f t="shared" si="56"/>
        <v/>
      </c>
      <c r="K1196" s="12" t="str">
        <f>IFERROR((E1196 - VLOOKUP(C1196, 'Stock Entry'!B:E, 4, FALSE)) * D1196, "")</f>
        <v/>
      </c>
    </row>
    <row r="1197" spans="7:11" x14ac:dyDescent="0.25">
      <c r="G1197" s="12" t="str">
        <f t="shared" si="54"/>
        <v/>
      </c>
      <c r="I1197" s="12" t="str">
        <f t="shared" si="55"/>
        <v/>
      </c>
      <c r="J1197" s="12" t="str">
        <f t="shared" si="56"/>
        <v/>
      </c>
      <c r="K1197" s="12" t="str">
        <f>IFERROR((E1197 - VLOOKUP(C1197, 'Stock Entry'!B:E, 4, FALSE)) * D1197, "")</f>
        <v/>
      </c>
    </row>
    <row r="1198" spans="7:11" x14ac:dyDescent="0.25">
      <c r="G1198" s="12" t="str">
        <f t="shared" si="54"/>
        <v/>
      </c>
      <c r="I1198" s="12" t="str">
        <f t="shared" si="55"/>
        <v/>
      </c>
      <c r="J1198" s="12" t="str">
        <f t="shared" si="56"/>
        <v/>
      </c>
      <c r="K1198" s="12" t="str">
        <f>IFERROR((E1198 - VLOOKUP(C1198, 'Stock Entry'!B:E, 4, FALSE)) * D1198, "")</f>
        <v/>
      </c>
    </row>
    <row r="1199" spans="7:11" x14ac:dyDescent="0.25">
      <c r="G1199" s="12" t="str">
        <f t="shared" si="54"/>
        <v/>
      </c>
      <c r="I1199" s="12" t="str">
        <f t="shared" si="55"/>
        <v/>
      </c>
      <c r="J1199" s="12" t="str">
        <f t="shared" si="56"/>
        <v/>
      </c>
      <c r="K1199" s="12" t="str">
        <f>IFERROR((E1199 - VLOOKUP(C1199, 'Stock Entry'!B:E, 4, FALSE)) * D1199, "")</f>
        <v/>
      </c>
    </row>
    <row r="1200" spans="7:11" x14ac:dyDescent="0.25">
      <c r="G1200" s="12" t="str">
        <f t="shared" si="54"/>
        <v/>
      </c>
      <c r="I1200" s="12" t="str">
        <f t="shared" si="55"/>
        <v/>
      </c>
      <c r="J1200" s="12" t="str">
        <f t="shared" si="56"/>
        <v/>
      </c>
      <c r="K1200" s="12" t="str">
        <f>IFERROR((E1200 - VLOOKUP(C1200, 'Stock Entry'!B:E, 4, FALSE)) * D1200, "")</f>
        <v/>
      </c>
    </row>
    <row r="1201" spans="7:11" x14ac:dyDescent="0.25">
      <c r="G1201" s="12" t="str">
        <f t="shared" si="54"/>
        <v/>
      </c>
      <c r="I1201" s="12" t="str">
        <f t="shared" si="55"/>
        <v/>
      </c>
      <c r="J1201" s="12" t="str">
        <f t="shared" si="56"/>
        <v/>
      </c>
      <c r="K1201" s="12" t="str">
        <f>IFERROR((E1201 - VLOOKUP(C1201, 'Stock Entry'!B:E, 4, FALSE)) * D1201, "")</f>
        <v/>
      </c>
    </row>
    <row r="1202" spans="7:11" x14ac:dyDescent="0.25">
      <c r="G1202" s="12" t="str">
        <f t="shared" si="54"/>
        <v/>
      </c>
      <c r="I1202" s="12" t="str">
        <f t="shared" si="55"/>
        <v/>
      </c>
      <c r="J1202" s="12" t="str">
        <f t="shared" si="56"/>
        <v/>
      </c>
      <c r="K1202" s="12" t="str">
        <f>IFERROR((E1202 - VLOOKUP(C1202, 'Stock Entry'!B:E, 4, FALSE)) * D1202, "")</f>
        <v/>
      </c>
    </row>
    <row r="1203" spans="7:11" x14ac:dyDescent="0.25">
      <c r="G1203" s="12" t="str">
        <f t="shared" si="54"/>
        <v/>
      </c>
      <c r="I1203" s="12" t="str">
        <f t="shared" si="55"/>
        <v/>
      </c>
      <c r="J1203" s="12" t="str">
        <f t="shared" si="56"/>
        <v/>
      </c>
      <c r="K1203" s="12" t="str">
        <f>IFERROR((E1203 - VLOOKUP(C1203, 'Stock Entry'!B:E, 4, FALSE)) * D1203, "")</f>
        <v/>
      </c>
    </row>
    <row r="1204" spans="7:11" x14ac:dyDescent="0.25">
      <c r="G1204" s="12" t="str">
        <f t="shared" si="54"/>
        <v/>
      </c>
      <c r="I1204" s="12" t="str">
        <f t="shared" si="55"/>
        <v/>
      </c>
      <c r="J1204" s="12" t="str">
        <f t="shared" si="56"/>
        <v/>
      </c>
      <c r="K1204" s="12" t="str">
        <f>IFERROR((E1204 - VLOOKUP(C1204, 'Stock Entry'!B:E, 4, FALSE)) * D1204, "")</f>
        <v/>
      </c>
    </row>
    <row r="1205" spans="7:11" x14ac:dyDescent="0.25">
      <c r="G1205" s="12" t="str">
        <f t="shared" si="54"/>
        <v/>
      </c>
      <c r="I1205" s="12" t="str">
        <f t="shared" si="55"/>
        <v/>
      </c>
      <c r="J1205" s="12" t="str">
        <f t="shared" si="56"/>
        <v/>
      </c>
      <c r="K1205" s="12" t="str">
        <f>IFERROR((E1205 - VLOOKUP(C1205, 'Stock Entry'!B:E, 4, FALSE)) * D1205, "")</f>
        <v/>
      </c>
    </row>
    <row r="1206" spans="7:11" x14ac:dyDescent="0.25">
      <c r="G1206" s="12" t="str">
        <f t="shared" si="54"/>
        <v/>
      </c>
      <c r="I1206" s="12" t="str">
        <f t="shared" si="55"/>
        <v/>
      </c>
      <c r="J1206" s="12" t="str">
        <f t="shared" si="56"/>
        <v/>
      </c>
      <c r="K1206" s="12" t="str">
        <f>IFERROR((E1206 - VLOOKUP(C1206, 'Stock Entry'!B:E, 4, FALSE)) * D1206, "")</f>
        <v/>
      </c>
    </row>
    <row r="1207" spans="7:11" x14ac:dyDescent="0.25">
      <c r="G1207" s="12" t="str">
        <f t="shared" si="54"/>
        <v/>
      </c>
      <c r="I1207" s="12" t="str">
        <f t="shared" si="55"/>
        <v/>
      </c>
      <c r="J1207" s="12" t="str">
        <f t="shared" si="56"/>
        <v/>
      </c>
      <c r="K1207" s="12" t="str">
        <f>IFERROR((E1207 - VLOOKUP(C1207, 'Stock Entry'!B:E, 4, FALSE)) * D1207, "")</f>
        <v/>
      </c>
    </row>
    <row r="1208" spans="7:11" x14ac:dyDescent="0.25">
      <c r="G1208" s="12" t="str">
        <f t="shared" si="54"/>
        <v/>
      </c>
      <c r="I1208" s="12" t="str">
        <f t="shared" si="55"/>
        <v/>
      </c>
      <c r="J1208" s="12" t="str">
        <f t="shared" si="56"/>
        <v/>
      </c>
      <c r="K1208" s="12" t="str">
        <f>IFERROR((E1208 - VLOOKUP(C1208, 'Stock Entry'!B:E, 4, FALSE)) * D1208, "")</f>
        <v/>
      </c>
    </row>
    <row r="1209" spans="7:11" x14ac:dyDescent="0.25">
      <c r="G1209" s="12" t="str">
        <f t="shared" si="54"/>
        <v/>
      </c>
      <c r="I1209" s="12" t="str">
        <f t="shared" si="55"/>
        <v/>
      </c>
      <c r="J1209" s="12" t="str">
        <f t="shared" si="56"/>
        <v/>
      </c>
      <c r="K1209" s="12" t="str">
        <f>IFERROR((E1209 - VLOOKUP(C1209, 'Stock Entry'!B:E, 4, FALSE)) * D1209, "")</f>
        <v/>
      </c>
    </row>
    <row r="1210" spans="7:11" x14ac:dyDescent="0.25">
      <c r="G1210" s="12" t="str">
        <f t="shared" si="54"/>
        <v/>
      </c>
      <c r="I1210" s="12" t="str">
        <f t="shared" si="55"/>
        <v/>
      </c>
      <c r="J1210" s="12" t="str">
        <f t="shared" si="56"/>
        <v/>
      </c>
      <c r="K1210" s="12" t="str">
        <f>IFERROR((E1210 - VLOOKUP(C1210, 'Stock Entry'!B:E, 4, FALSE)) * D1210, "")</f>
        <v/>
      </c>
    </row>
    <row r="1211" spans="7:11" x14ac:dyDescent="0.25">
      <c r="G1211" s="12" t="str">
        <f t="shared" si="54"/>
        <v/>
      </c>
      <c r="I1211" s="12" t="str">
        <f t="shared" si="55"/>
        <v/>
      </c>
      <c r="J1211" s="12" t="str">
        <f t="shared" si="56"/>
        <v/>
      </c>
      <c r="K1211" s="12" t="str">
        <f>IFERROR((E1211 - VLOOKUP(C1211, 'Stock Entry'!B:E, 4, FALSE)) * D1211, "")</f>
        <v/>
      </c>
    </row>
    <row r="1212" spans="7:11" x14ac:dyDescent="0.25">
      <c r="G1212" s="12" t="str">
        <f t="shared" si="54"/>
        <v/>
      </c>
      <c r="I1212" s="12" t="str">
        <f t="shared" si="55"/>
        <v/>
      </c>
      <c r="J1212" s="12" t="str">
        <f t="shared" si="56"/>
        <v/>
      </c>
      <c r="K1212" s="12" t="str">
        <f>IFERROR((E1212 - VLOOKUP(C1212, 'Stock Entry'!B:E, 4, FALSE)) * D1212, "")</f>
        <v/>
      </c>
    </row>
    <row r="1213" spans="7:11" x14ac:dyDescent="0.25">
      <c r="G1213" s="12" t="str">
        <f t="shared" si="54"/>
        <v/>
      </c>
      <c r="I1213" s="12" t="str">
        <f t="shared" si="55"/>
        <v/>
      </c>
      <c r="J1213" s="12" t="str">
        <f t="shared" si="56"/>
        <v/>
      </c>
      <c r="K1213" s="12" t="str">
        <f>IFERROR((E1213 - VLOOKUP(C1213, 'Stock Entry'!B:E, 4, FALSE)) * D1213, "")</f>
        <v/>
      </c>
    </row>
    <row r="1214" spans="7:11" x14ac:dyDescent="0.25">
      <c r="G1214" s="12" t="str">
        <f t="shared" si="54"/>
        <v/>
      </c>
      <c r="I1214" s="12" t="str">
        <f t="shared" si="55"/>
        <v/>
      </c>
      <c r="J1214" s="12" t="str">
        <f t="shared" si="56"/>
        <v/>
      </c>
      <c r="K1214" s="12" t="str">
        <f>IFERROR((E1214 - VLOOKUP(C1214, 'Stock Entry'!B:E, 4, FALSE)) * D1214, "")</f>
        <v/>
      </c>
    </row>
    <row r="1215" spans="7:11" x14ac:dyDescent="0.25">
      <c r="G1215" s="12" t="str">
        <f t="shared" si="54"/>
        <v/>
      </c>
      <c r="I1215" s="12" t="str">
        <f t="shared" si="55"/>
        <v/>
      </c>
      <c r="J1215" s="12" t="str">
        <f t="shared" si="56"/>
        <v/>
      </c>
      <c r="K1215" s="12" t="str">
        <f>IFERROR((E1215 - VLOOKUP(C1215, 'Stock Entry'!B:E, 4, FALSE)) * D1215, "")</f>
        <v/>
      </c>
    </row>
    <row r="1216" spans="7:11" x14ac:dyDescent="0.25">
      <c r="G1216" s="12" t="str">
        <f t="shared" si="54"/>
        <v/>
      </c>
      <c r="I1216" s="12" t="str">
        <f t="shared" si="55"/>
        <v/>
      </c>
      <c r="J1216" s="12" t="str">
        <f t="shared" si="56"/>
        <v/>
      </c>
      <c r="K1216" s="12" t="str">
        <f>IFERROR((E1216 - VLOOKUP(C1216, 'Stock Entry'!B:E, 4, FALSE)) * D1216, "")</f>
        <v/>
      </c>
    </row>
    <row r="1217" spans="7:11" x14ac:dyDescent="0.25">
      <c r="G1217" s="12" t="str">
        <f t="shared" si="54"/>
        <v/>
      </c>
      <c r="I1217" s="12" t="str">
        <f t="shared" si="55"/>
        <v/>
      </c>
      <c r="J1217" s="12" t="str">
        <f t="shared" si="56"/>
        <v/>
      </c>
      <c r="K1217" s="12" t="str">
        <f>IFERROR((E1217 - VLOOKUP(C1217, 'Stock Entry'!B:E, 4, FALSE)) * D1217, "")</f>
        <v/>
      </c>
    </row>
    <row r="1218" spans="7:11" x14ac:dyDescent="0.25">
      <c r="G1218" s="12" t="str">
        <f t="shared" si="54"/>
        <v/>
      </c>
      <c r="I1218" s="12" t="str">
        <f t="shared" si="55"/>
        <v/>
      </c>
      <c r="J1218" s="12" t="str">
        <f t="shared" si="56"/>
        <v/>
      </c>
      <c r="K1218" s="12" t="str">
        <f>IFERROR((E1218 - VLOOKUP(C1218, 'Stock Entry'!B:E, 4, FALSE)) * D1218, "")</f>
        <v/>
      </c>
    </row>
    <row r="1219" spans="7:11" x14ac:dyDescent="0.25">
      <c r="G1219" s="12" t="str">
        <f t="shared" ref="G1219:G1242" si="57">IF(F1219="Full Cash", D1219*E1219, "")</f>
        <v/>
      </c>
      <c r="I1219" s="12" t="str">
        <f t="shared" ref="I1219:I1247" si="58">IF(F1219="Full Credit",D1219*E1219,IF(F1219="Partly Payment",(D1219*E1219)-H1219,""))</f>
        <v/>
      </c>
      <c r="J1219" s="12" t="str">
        <f t="shared" ref="J1219:J1247" si="59">IF(F1219="Full Cash", G1219, IF(F1219="Full Credit", I1219, IF(F1219="Partly Payment", H1219+I1219, "")))</f>
        <v/>
      </c>
      <c r="K1219" s="12" t="str">
        <f>IFERROR((E1219 - VLOOKUP(C1219, 'Stock Entry'!B:E, 4, FALSE)) * D1219, "")</f>
        <v/>
      </c>
    </row>
    <row r="1220" spans="7:11" x14ac:dyDescent="0.25">
      <c r="G1220" s="12" t="str">
        <f t="shared" si="57"/>
        <v/>
      </c>
      <c r="I1220" s="12" t="str">
        <f t="shared" si="58"/>
        <v/>
      </c>
      <c r="J1220" s="12" t="str">
        <f t="shared" si="59"/>
        <v/>
      </c>
      <c r="K1220" s="12" t="str">
        <f>IFERROR((E1220 - VLOOKUP(C1220, 'Stock Entry'!B:E, 4, FALSE)) * D1220, "")</f>
        <v/>
      </c>
    </row>
    <row r="1221" spans="7:11" x14ac:dyDescent="0.25">
      <c r="G1221" s="12" t="str">
        <f t="shared" si="57"/>
        <v/>
      </c>
      <c r="I1221" s="12" t="str">
        <f t="shared" si="58"/>
        <v/>
      </c>
      <c r="J1221" s="12" t="str">
        <f t="shared" si="59"/>
        <v/>
      </c>
      <c r="K1221" s="12" t="str">
        <f>IFERROR((E1221 - VLOOKUP(C1221, 'Stock Entry'!B:E, 4, FALSE)) * D1221, "")</f>
        <v/>
      </c>
    </row>
    <row r="1222" spans="7:11" x14ac:dyDescent="0.25">
      <c r="G1222" s="12" t="str">
        <f t="shared" si="57"/>
        <v/>
      </c>
      <c r="I1222" s="12" t="str">
        <f t="shared" si="58"/>
        <v/>
      </c>
      <c r="J1222" s="12" t="str">
        <f t="shared" si="59"/>
        <v/>
      </c>
      <c r="K1222" s="12" t="str">
        <f>IFERROR((E1222 - VLOOKUP(C1222, 'Stock Entry'!B:E, 4, FALSE)) * D1222, "")</f>
        <v/>
      </c>
    </row>
    <row r="1223" spans="7:11" x14ac:dyDescent="0.25">
      <c r="G1223" s="12" t="str">
        <f t="shared" si="57"/>
        <v/>
      </c>
      <c r="I1223" s="12" t="str">
        <f t="shared" si="58"/>
        <v/>
      </c>
      <c r="J1223" s="12" t="str">
        <f t="shared" si="59"/>
        <v/>
      </c>
      <c r="K1223" s="12" t="str">
        <f>IFERROR((E1223 - VLOOKUP(C1223, 'Stock Entry'!B:E, 4, FALSE)) * D1223, "")</f>
        <v/>
      </c>
    </row>
    <row r="1224" spans="7:11" x14ac:dyDescent="0.25">
      <c r="G1224" s="12" t="str">
        <f t="shared" si="57"/>
        <v/>
      </c>
      <c r="I1224" s="12" t="str">
        <f t="shared" si="58"/>
        <v/>
      </c>
      <c r="J1224" s="12" t="str">
        <f t="shared" si="59"/>
        <v/>
      </c>
      <c r="K1224" s="12" t="str">
        <f>IFERROR((E1224 - VLOOKUP(C1224, 'Stock Entry'!B:E, 4, FALSE)) * D1224, "")</f>
        <v/>
      </c>
    </row>
    <row r="1225" spans="7:11" x14ac:dyDescent="0.25">
      <c r="G1225" s="12" t="str">
        <f t="shared" si="57"/>
        <v/>
      </c>
      <c r="I1225" s="12" t="str">
        <f t="shared" si="58"/>
        <v/>
      </c>
      <c r="J1225" s="12" t="str">
        <f t="shared" si="59"/>
        <v/>
      </c>
      <c r="K1225" s="12" t="str">
        <f>IFERROR((E1225 - VLOOKUP(C1225, 'Stock Entry'!B:E, 4, FALSE)) * D1225, "")</f>
        <v/>
      </c>
    </row>
    <row r="1226" spans="7:11" x14ac:dyDescent="0.25">
      <c r="G1226" s="12" t="str">
        <f t="shared" si="57"/>
        <v/>
      </c>
      <c r="I1226" s="12" t="str">
        <f t="shared" si="58"/>
        <v/>
      </c>
      <c r="J1226" s="12" t="str">
        <f t="shared" si="59"/>
        <v/>
      </c>
      <c r="K1226" s="12" t="str">
        <f>IFERROR((E1226 - VLOOKUP(C1226, 'Stock Entry'!B:E, 4, FALSE)) * D1226, "")</f>
        <v/>
      </c>
    </row>
    <row r="1227" spans="7:11" x14ac:dyDescent="0.25">
      <c r="G1227" s="12" t="str">
        <f t="shared" si="57"/>
        <v/>
      </c>
      <c r="I1227" s="12" t="str">
        <f t="shared" si="58"/>
        <v/>
      </c>
      <c r="J1227" s="12" t="str">
        <f t="shared" si="59"/>
        <v/>
      </c>
      <c r="K1227" s="12" t="str">
        <f>IFERROR((E1227 - VLOOKUP(C1227, 'Stock Entry'!B:E, 4, FALSE)) * D1227, "")</f>
        <v/>
      </c>
    </row>
    <row r="1228" spans="7:11" x14ac:dyDescent="0.25">
      <c r="G1228" s="12" t="str">
        <f t="shared" si="57"/>
        <v/>
      </c>
      <c r="I1228" s="12" t="str">
        <f t="shared" si="58"/>
        <v/>
      </c>
      <c r="J1228" s="12" t="str">
        <f t="shared" si="59"/>
        <v/>
      </c>
      <c r="K1228" s="12" t="str">
        <f>IFERROR((E1228 - VLOOKUP(C1228, 'Stock Entry'!B:E, 4, FALSE)) * D1228, "")</f>
        <v/>
      </c>
    </row>
    <row r="1229" spans="7:11" x14ac:dyDescent="0.25">
      <c r="G1229" s="12" t="str">
        <f t="shared" si="57"/>
        <v/>
      </c>
      <c r="I1229" s="12" t="str">
        <f t="shared" si="58"/>
        <v/>
      </c>
      <c r="J1229" s="12" t="str">
        <f t="shared" si="59"/>
        <v/>
      </c>
      <c r="K1229" s="12" t="str">
        <f>IFERROR((E1229 - VLOOKUP(C1229, 'Stock Entry'!B:E, 4, FALSE)) * D1229, "")</f>
        <v/>
      </c>
    </row>
    <row r="1230" spans="7:11" x14ac:dyDescent="0.25">
      <c r="G1230" s="12" t="str">
        <f t="shared" si="57"/>
        <v/>
      </c>
      <c r="I1230" s="12" t="str">
        <f t="shared" si="58"/>
        <v/>
      </c>
      <c r="J1230" s="12" t="str">
        <f t="shared" si="59"/>
        <v/>
      </c>
      <c r="K1230" s="12" t="str">
        <f>IFERROR((E1230 - VLOOKUP(C1230, 'Stock Entry'!B:E, 4, FALSE)) * D1230, "")</f>
        <v/>
      </c>
    </row>
    <row r="1231" spans="7:11" x14ac:dyDescent="0.25">
      <c r="G1231" s="12" t="str">
        <f t="shared" si="57"/>
        <v/>
      </c>
      <c r="I1231" s="12" t="str">
        <f t="shared" si="58"/>
        <v/>
      </c>
      <c r="J1231" s="12" t="str">
        <f t="shared" si="59"/>
        <v/>
      </c>
      <c r="K1231" s="12" t="str">
        <f>IFERROR((E1231 - VLOOKUP(C1231, 'Stock Entry'!B:E, 4, FALSE)) * D1231, "")</f>
        <v/>
      </c>
    </row>
    <row r="1232" spans="7:11" x14ac:dyDescent="0.25">
      <c r="G1232" s="12" t="str">
        <f t="shared" si="57"/>
        <v/>
      </c>
      <c r="I1232" s="12" t="str">
        <f t="shared" si="58"/>
        <v/>
      </c>
      <c r="J1232" s="12" t="str">
        <f t="shared" si="59"/>
        <v/>
      </c>
      <c r="K1232" s="12" t="str">
        <f>IFERROR((E1232 - VLOOKUP(C1232, 'Stock Entry'!B:E, 4, FALSE)) * D1232, "")</f>
        <v/>
      </c>
    </row>
    <row r="1233" spans="7:11" x14ac:dyDescent="0.25">
      <c r="G1233" s="12" t="str">
        <f t="shared" si="57"/>
        <v/>
      </c>
      <c r="I1233" s="12" t="str">
        <f t="shared" si="58"/>
        <v/>
      </c>
      <c r="J1233" s="12" t="str">
        <f t="shared" si="59"/>
        <v/>
      </c>
      <c r="K1233" s="12" t="str">
        <f>IFERROR((E1233 - VLOOKUP(C1233, 'Stock Entry'!B:E, 4, FALSE)) * D1233, "")</f>
        <v/>
      </c>
    </row>
    <row r="1234" spans="7:11" x14ac:dyDescent="0.25">
      <c r="G1234" s="12" t="str">
        <f t="shared" si="57"/>
        <v/>
      </c>
      <c r="I1234" s="12" t="str">
        <f t="shared" si="58"/>
        <v/>
      </c>
      <c r="J1234" s="12" t="str">
        <f t="shared" si="59"/>
        <v/>
      </c>
      <c r="K1234" s="12" t="str">
        <f>IFERROR((E1234 - VLOOKUP(C1234, 'Stock Entry'!B:E, 4, FALSE)) * D1234, "")</f>
        <v/>
      </c>
    </row>
    <row r="1235" spans="7:11" x14ac:dyDescent="0.25">
      <c r="G1235" s="12" t="str">
        <f t="shared" si="57"/>
        <v/>
      </c>
      <c r="I1235" s="12" t="str">
        <f t="shared" si="58"/>
        <v/>
      </c>
      <c r="J1235" s="12" t="str">
        <f t="shared" si="59"/>
        <v/>
      </c>
      <c r="K1235" s="12" t="str">
        <f>IFERROR((E1235 - VLOOKUP(C1235, 'Stock Entry'!B:E, 4, FALSE)) * D1235, "")</f>
        <v/>
      </c>
    </row>
    <row r="1236" spans="7:11" x14ac:dyDescent="0.25">
      <c r="G1236" s="12" t="str">
        <f t="shared" si="57"/>
        <v/>
      </c>
      <c r="I1236" s="12" t="str">
        <f t="shared" si="58"/>
        <v/>
      </c>
      <c r="J1236" s="12" t="str">
        <f t="shared" si="59"/>
        <v/>
      </c>
      <c r="K1236" s="12" t="str">
        <f>IFERROR((E1236 - VLOOKUP(C1236, 'Stock Entry'!B:E, 4, FALSE)) * D1236, "")</f>
        <v/>
      </c>
    </row>
    <row r="1237" spans="7:11" x14ac:dyDescent="0.25">
      <c r="G1237" s="12" t="str">
        <f t="shared" si="57"/>
        <v/>
      </c>
      <c r="I1237" s="12" t="str">
        <f t="shared" si="58"/>
        <v/>
      </c>
      <c r="J1237" s="12" t="str">
        <f t="shared" si="59"/>
        <v/>
      </c>
      <c r="K1237" s="12" t="str">
        <f>IFERROR((E1237 - VLOOKUP(C1237, 'Stock Entry'!B:E, 4, FALSE)) * D1237, "")</f>
        <v/>
      </c>
    </row>
    <row r="1238" spans="7:11" x14ac:dyDescent="0.25">
      <c r="G1238" s="12" t="str">
        <f t="shared" si="57"/>
        <v/>
      </c>
      <c r="I1238" s="12" t="str">
        <f t="shared" si="58"/>
        <v/>
      </c>
      <c r="J1238" s="12" t="str">
        <f t="shared" si="59"/>
        <v/>
      </c>
      <c r="K1238" s="12" t="str">
        <f>IFERROR((E1238 - VLOOKUP(C1238, 'Stock Entry'!B:E, 4, FALSE)) * D1238, "")</f>
        <v/>
      </c>
    </row>
    <row r="1239" spans="7:11" x14ac:dyDescent="0.25">
      <c r="G1239" s="12" t="str">
        <f t="shared" si="57"/>
        <v/>
      </c>
      <c r="I1239" s="12" t="str">
        <f t="shared" si="58"/>
        <v/>
      </c>
      <c r="J1239" s="12" t="str">
        <f t="shared" si="59"/>
        <v/>
      </c>
      <c r="K1239" s="12" t="str">
        <f>IFERROR((E1239 - VLOOKUP(C1239, 'Stock Entry'!B:E, 4, FALSE)) * D1239, "")</f>
        <v/>
      </c>
    </row>
    <row r="1240" spans="7:11" x14ac:dyDescent="0.25">
      <c r="G1240" s="12" t="str">
        <f t="shared" si="57"/>
        <v/>
      </c>
      <c r="I1240" s="12" t="str">
        <f t="shared" si="58"/>
        <v/>
      </c>
      <c r="J1240" s="12" t="str">
        <f t="shared" si="59"/>
        <v/>
      </c>
      <c r="K1240" s="12" t="str">
        <f>IFERROR((E1240 - VLOOKUP(C1240, 'Stock Entry'!B:E, 4, FALSE)) * D1240, "")</f>
        <v/>
      </c>
    </row>
    <row r="1241" spans="7:11" x14ac:dyDescent="0.25">
      <c r="G1241" s="12" t="str">
        <f t="shared" si="57"/>
        <v/>
      </c>
      <c r="I1241" s="12" t="str">
        <f t="shared" si="58"/>
        <v/>
      </c>
      <c r="J1241" s="12" t="str">
        <f t="shared" si="59"/>
        <v/>
      </c>
      <c r="K1241" s="12" t="str">
        <f>IFERROR((E1241 - VLOOKUP(C1241, 'Stock Entry'!B:E, 4, FALSE)) * D1241, "")</f>
        <v/>
      </c>
    </row>
    <row r="1242" spans="7:11" x14ac:dyDescent="0.25">
      <c r="G1242" s="12" t="str">
        <f t="shared" si="57"/>
        <v/>
      </c>
      <c r="I1242" s="12" t="str">
        <f t="shared" si="58"/>
        <v/>
      </c>
      <c r="J1242" s="12" t="str">
        <f t="shared" si="59"/>
        <v/>
      </c>
      <c r="K1242" s="12" t="str">
        <f>IFERROR((E1242 - VLOOKUP(C1242, 'Stock Entry'!B:E, 4, FALSE)) * D1242, "")</f>
        <v/>
      </c>
    </row>
    <row r="1243" spans="7:11" x14ac:dyDescent="0.25">
      <c r="I1243" s="12" t="str">
        <f t="shared" si="58"/>
        <v/>
      </c>
      <c r="J1243" s="12" t="str">
        <f t="shared" si="59"/>
        <v/>
      </c>
      <c r="K1243" s="12" t="str">
        <f>IFERROR((E1243 - VLOOKUP(C1243, 'Stock Entry'!B:E, 4, FALSE)) * D1243, "")</f>
        <v/>
      </c>
    </row>
    <row r="1244" spans="7:11" x14ac:dyDescent="0.25">
      <c r="I1244" s="12" t="str">
        <f t="shared" si="58"/>
        <v/>
      </c>
      <c r="J1244" s="12" t="str">
        <f t="shared" si="59"/>
        <v/>
      </c>
      <c r="K1244" s="12" t="str">
        <f>IFERROR((E1244 - VLOOKUP(C1244, 'Stock Entry'!B:E, 4, FALSE)) * D1244, "")</f>
        <v/>
      </c>
    </row>
    <row r="1245" spans="7:11" x14ac:dyDescent="0.25">
      <c r="I1245" s="12" t="str">
        <f t="shared" si="58"/>
        <v/>
      </c>
      <c r="J1245" s="12" t="str">
        <f t="shared" si="59"/>
        <v/>
      </c>
      <c r="K1245" s="12" t="str">
        <f>IFERROR((E1245 - VLOOKUP(C1245, 'Stock Entry'!B:E, 4, FALSE)) * D1245, "")</f>
        <v/>
      </c>
    </row>
    <row r="1246" spans="7:11" x14ac:dyDescent="0.25">
      <c r="I1246" s="12" t="str">
        <f t="shared" si="58"/>
        <v/>
      </c>
      <c r="J1246" s="12" t="str">
        <f t="shared" si="59"/>
        <v/>
      </c>
      <c r="K1246" s="12" t="str">
        <f>IFERROR((E1246 - VLOOKUP(C1246, 'Stock Entry'!B:E, 4, FALSE)) * D1246, "")</f>
        <v/>
      </c>
    </row>
    <row r="1247" spans="7:11" x14ac:dyDescent="0.25">
      <c r="I1247" s="12" t="str">
        <f t="shared" si="58"/>
        <v/>
      </c>
      <c r="J1247" s="12" t="str">
        <f t="shared" si="59"/>
        <v/>
      </c>
      <c r="K1247" s="12" t="str">
        <f>IFERROR((E1247 - VLOOKUP(C1247, 'Stock Entry'!B:E, 4, FALSE)) * D1247, "")</f>
        <v/>
      </c>
    </row>
  </sheetData>
  <dataValidations count="2">
    <dataValidation type="list" allowBlank="1" showInputMessage="1" showErrorMessage="1" errorTitle="Invalid Input" error="Input should be either &quot;Cash&quot;, &quot;Credit&quot; or &quot;Partly Payment&quot; from the dropdown menu" promptTitle="Select Payment Method" prompt="Choose whether it is Cash, Credit or Partly Payment from the drop down menu" sqref="F1:F1048576" xr:uid="{17B6313B-1979-4001-8E7B-73C5E940CF25}">
      <formula1>"Full Cash, Full Credit, Partly Payment"</formula1>
    </dataValidation>
    <dataValidation type="date" operator="greaterThanOrEqual" allowBlank="1" showInputMessage="1" showErrorMessage="1" errorTitle="Wrong Date format" error="PLease enter date in format DD/MM/YYYY" promptTitle="Date" prompt="Enter date in format DD/MM/YYYY" sqref="A1:A1048576" xr:uid="{42411546-C8DB-4392-B008-28CBC3BF7C1A}">
      <formula1>AND(ISNUMBER(DATEVALUE(TEXT(A2,"MM/DD/YYYY"))), LEN(TEXT(A2,"MM/DD/YYYY"))=10)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ECB7-20AF-405F-879B-51100CAFCBBA}">
  <dimension ref="A1:FH1304"/>
  <sheetViews>
    <sheetView zoomScale="193" workbookViewId="0">
      <selection activeCell="F2" sqref="F2"/>
    </sheetView>
  </sheetViews>
  <sheetFormatPr defaultRowHeight="15" x14ac:dyDescent="0.25"/>
  <cols>
    <col min="1" max="1" width="13.140625" customWidth="1"/>
    <col min="2" max="2" width="19.85546875" customWidth="1"/>
    <col min="3" max="3" width="12.140625" customWidth="1"/>
    <col min="4" max="4" width="8.42578125" customWidth="1"/>
    <col min="5" max="5" width="14.7109375" style="12" customWidth="1"/>
    <col min="6" max="6" width="14.85546875" style="12" bestFit="1" customWidth="1"/>
    <col min="9" max="9" width="14.42578125" customWidth="1"/>
  </cols>
  <sheetData>
    <row r="1" spans="1:164" s="3" customFormat="1" x14ac:dyDescent="0.25">
      <c r="A1" s="4" t="s">
        <v>5</v>
      </c>
      <c r="B1" s="5" t="s">
        <v>1</v>
      </c>
      <c r="C1" s="5" t="s">
        <v>12</v>
      </c>
      <c r="D1" s="5" t="s">
        <v>6</v>
      </c>
      <c r="E1" s="13" t="s">
        <v>14</v>
      </c>
      <c r="F1" s="11" t="s">
        <v>7</v>
      </c>
      <c r="G1"/>
      <c r="H1"/>
      <c r="I1"/>
      <c r="J1"/>
      <c r="K1" s="9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</row>
    <row r="2" spans="1:164" x14ac:dyDescent="0.25">
      <c r="A2" s="10">
        <v>45597</v>
      </c>
      <c r="B2" t="s">
        <v>25</v>
      </c>
      <c r="D2">
        <v>50</v>
      </c>
      <c r="E2" s="12">
        <v>102000</v>
      </c>
      <c r="F2" s="12">
        <f>IF((D2*E2)=0, "", D2*E2)</f>
        <v>5100000</v>
      </c>
    </row>
    <row r="3" spans="1:164" x14ac:dyDescent="0.25">
      <c r="A3" s="10">
        <v>45638</v>
      </c>
      <c r="B3" t="s">
        <v>27</v>
      </c>
      <c r="D3">
        <v>50</v>
      </c>
      <c r="E3" s="12">
        <v>112000</v>
      </c>
      <c r="F3" s="12">
        <f t="shared" ref="F3:F66" si="0">IF((D3*E3)=0, "", D3*E3)</f>
        <v>5600000</v>
      </c>
    </row>
    <row r="4" spans="1:164" x14ac:dyDescent="0.25">
      <c r="A4" s="10"/>
      <c r="F4" s="12" t="str">
        <f t="shared" si="0"/>
        <v/>
      </c>
    </row>
    <row r="5" spans="1:164" x14ac:dyDescent="0.25">
      <c r="A5" s="10"/>
      <c r="F5" s="12" t="str">
        <f t="shared" si="0"/>
        <v/>
      </c>
    </row>
    <row r="6" spans="1:164" x14ac:dyDescent="0.25">
      <c r="A6" s="6"/>
      <c r="F6" s="12" t="str">
        <f t="shared" si="0"/>
        <v/>
      </c>
    </row>
    <row r="7" spans="1:164" x14ac:dyDescent="0.25">
      <c r="A7" s="6"/>
      <c r="F7" s="12" t="str">
        <f t="shared" si="0"/>
        <v/>
      </c>
    </row>
    <row r="8" spans="1:164" x14ac:dyDescent="0.25">
      <c r="A8" s="6"/>
      <c r="F8" s="12" t="str">
        <f t="shared" si="0"/>
        <v/>
      </c>
    </row>
    <row r="9" spans="1:164" x14ac:dyDescent="0.25">
      <c r="A9" s="6"/>
      <c r="F9" s="12" t="str">
        <f t="shared" si="0"/>
        <v/>
      </c>
    </row>
    <row r="10" spans="1:164" x14ac:dyDescent="0.25">
      <c r="A10" s="6"/>
      <c r="F10" s="12" t="str">
        <f t="shared" si="0"/>
        <v/>
      </c>
    </row>
    <row r="11" spans="1:164" x14ac:dyDescent="0.25">
      <c r="A11" s="6"/>
      <c r="F11" s="12" t="str">
        <f t="shared" si="0"/>
        <v/>
      </c>
    </row>
    <row r="12" spans="1:164" x14ac:dyDescent="0.25">
      <c r="A12" s="6"/>
      <c r="F12" s="12" t="str">
        <f t="shared" si="0"/>
        <v/>
      </c>
    </row>
    <row r="13" spans="1:164" x14ac:dyDescent="0.25">
      <c r="A13" s="6"/>
      <c r="F13" s="12" t="str">
        <f t="shared" si="0"/>
        <v/>
      </c>
    </row>
    <row r="14" spans="1:164" x14ac:dyDescent="0.25">
      <c r="A14" s="6"/>
      <c r="F14" s="12" t="str">
        <f t="shared" si="0"/>
        <v/>
      </c>
    </row>
    <row r="15" spans="1:164" x14ac:dyDescent="0.25">
      <c r="A15" s="6"/>
      <c r="F15" s="12" t="str">
        <f t="shared" si="0"/>
        <v/>
      </c>
    </row>
    <row r="16" spans="1:164" x14ac:dyDescent="0.25">
      <c r="A16" s="6"/>
      <c r="F16" s="12" t="str">
        <f t="shared" si="0"/>
        <v/>
      </c>
    </row>
    <row r="17" spans="1:6" x14ac:dyDescent="0.25">
      <c r="A17" s="6"/>
      <c r="F17" s="12" t="str">
        <f t="shared" si="0"/>
        <v/>
      </c>
    </row>
    <row r="18" spans="1:6" x14ac:dyDescent="0.25">
      <c r="A18" s="6"/>
      <c r="F18" s="12" t="str">
        <f t="shared" si="0"/>
        <v/>
      </c>
    </row>
    <row r="19" spans="1:6" x14ac:dyDescent="0.25">
      <c r="A19" s="6"/>
      <c r="F19" s="12" t="str">
        <f t="shared" si="0"/>
        <v/>
      </c>
    </row>
    <row r="20" spans="1:6" x14ac:dyDescent="0.25">
      <c r="A20" s="6"/>
      <c r="F20" s="12" t="str">
        <f t="shared" si="0"/>
        <v/>
      </c>
    </row>
    <row r="21" spans="1:6" x14ac:dyDescent="0.25">
      <c r="A21" s="6"/>
      <c r="F21" s="12" t="str">
        <f t="shared" si="0"/>
        <v/>
      </c>
    </row>
    <row r="22" spans="1:6" x14ac:dyDescent="0.25">
      <c r="A22" s="6"/>
      <c r="F22" s="12" t="str">
        <f t="shared" si="0"/>
        <v/>
      </c>
    </row>
    <row r="23" spans="1:6" x14ac:dyDescent="0.25">
      <c r="A23" s="6"/>
      <c r="F23" s="12" t="str">
        <f t="shared" si="0"/>
        <v/>
      </c>
    </row>
    <row r="24" spans="1:6" x14ac:dyDescent="0.25">
      <c r="A24" s="6"/>
      <c r="F24" s="12" t="str">
        <f t="shared" si="0"/>
        <v/>
      </c>
    </row>
    <row r="25" spans="1:6" x14ac:dyDescent="0.25">
      <c r="A25" s="6"/>
      <c r="F25" s="12" t="str">
        <f t="shared" si="0"/>
        <v/>
      </c>
    </row>
    <row r="26" spans="1:6" x14ac:dyDescent="0.25">
      <c r="A26" s="6"/>
      <c r="F26" s="12" t="str">
        <f t="shared" si="0"/>
        <v/>
      </c>
    </row>
    <row r="27" spans="1:6" x14ac:dyDescent="0.25">
      <c r="A27" s="6"/>
      <c r="F27" s="12" t="str">
        <f t="shared" si="0"/>
        <v/>
      </c>
    </row>
    <row r="28" spans="1:6" x14ac:dyDescent="0.25">
      <c r="A28" s="6"/>
      <c r="F28" s="12" t="str">
        <f t="shared" si="0"/>
        <v/>
      </c>
    </row>
    <row r="29" spans="1:6" x14ac:dyDescent="0.25">
      <c r="A29" s="6"/>
      <c r="F29" s="12" t="str">
        <f t="shared" si="0"/>
        <v/>
      </c>
    </row>
    <row r="30" spans="1:6" x14ac:dyDescent="0.25">
      <c r="A30" s="6"/>
      <c r="F30" s="12" t="str">
        <f t="shared" si="0"/>
        <v/>
      </c>
    </row>
    <row r="31" spans="1:6" x14ac:dyDescent="0.25">
      <c r="A31" s="6"/>
      <c r="F31" s="12" t="str">
        <f t="shared" si="0"/>
        <v/>
      </c>
    </row>
    <row r="32" spans="1:6" x14ac:dyDescent="0.25">
      <c r="A32" s="6"/>
      <c r="F32" s="12" t="str">
        <f t="shared" si="0"/>
        <v/>
      </c>
    </row>
    <row r="33" spans="1:6" x14ac:dyDescent="0.25">
      <c r="A33" s="6"/>
      <c r="F33" s="12" t="str">
        <f t="shared" si="0"/>
        <v/>
      </c>
    </row>
    <row r="34" spans="1:6" x14ac:dyDescent="0.25">
      <c r="A34" s="6"/>
      <c r="F34" s="12" t="str">
        <f t="shared" si="0"/>
        <v/>
      </c>
    </row>
    <row r="35" spans="1:6" x14ac:dyDescent="0.25">
      <c r="A35" s="6"/>
      <c r="F35" s="12" t="str">
        <f t="shared" si="0"/>
        <v/>
      </c>
    </row>
    <row r="36" spans="1:6" x14ac:dyDescent="0.25">
      <c r="A36" s="6"/>
      <c r="F36" s="12" t="str">
        <f t="shared" si="0"/>
        <v/>
      </c>
    </row>
    <row r="37" spans="1:6" x14ac:dyDescent="0.25">
      <c r="A37" s="6"/>
      <c r="F37" s="12" t="str">
        <f t="shared" si="0"/>
        <v/>
      </c>
    </row>
    <row r="38" spans="1:6" x14ac:dyDescent="0.25">
      <c r="A38" s="6"/>
      <c r="F38" s="12" t="str">
        <f t="shared" si="0"/>
        <v/>
      </c>
    </row>
    <row r="39" spans="1:6" x14ac:dyDescent="0.25">
      <c r="A39" s="6"/>
      <c r="F39" s="12" t="str">
        <f t="shared" si="0"/>
        <v/>
      </c>
    </row>
    <row r="40" spans="1:6" x14ac:dyDescent="0.25">
      <c r="A40" s="6"/>
      <c r="F40" s="12" t="str">
        <f t="shared" si="0"/>
        <v/>
      </c>
    </row>
    <row r="41" spans="1:6" x14ac:dyDescent="0.25">
      <c r="A41" s="6"/>
      <c r="F41" s="12" t="str">
        <f t="shared" si="0"/>
        <v/>
      </c>
    </row>
    <row r="42" spans="1:6" x14ac:dyDescent="0.25">
      <c r="A42" s="6"/>
      <c r="F42" s="12" t="str">
        <f t="shared" si="0"/>
        <v/>
      </c>
    </row>
    <row r="43" spans="1:6" x14ac:dyDescent="0.25">
      <c r="A43" s="6"/>
      <c r="F43" s="12" t="str">
        <f t="shared" si="0"/>
        <v/>
      </c>
    </row>
    <row r="44" spans="1:6" x14ac:dyDescent="0.25">
      <c r="A44" s="6"/>
      <c r="F44" s="12" t="str">
        <f t="shared" si="0"/>
        <v/>
      </c>
    </row>
    <row r="45" spans="1:6" x14ac:dyDescent="0.25">
      <c r="A45" s="6"/>
      <c r="F45" s="12" t="str">
        <f t="shared" si="0"/>
        <v/>
      </c>
    </row>
    <row r="46" spans="1:6" x14ac:dyDescent="0.25">
      <c r="A46" s="6"/>
      <c r="F46" s="12" t="str">
        <f t="shared" si="0"/>
        <v/>
      </c>
    </row>
    <row r="47" spans="1:6" x14ac:dyDescent="0.25">
      <c r="A47" s="6"/>
      <c r="F47" s="12" t="str">
        <f t="shared" si="0"/>
        <v/>
      </c>
    </row>
    <row r="48" spans="1:6" x14ac:dyDescent="0.25">
      <c r="A48" s="6"/>
      <c r="F48" s="12" t="str">
        <f t="shared" si="0"/>
        <v/>
      </c>
    </row>
    <row r="49" spans="1:6" x14ac:dyDescent="0.25">
      <c r="A49" s="6"/>
      <c r="F49" s="12" t="str">
        <f t="shared" si="0"/>
        <v/>
      </c>
    </row>
    <row r="50" spans="1:6" x14ac:dyDescent="0.25">
      <c r="A50" s="6"/>
      <c r="F50" s="12" t="str">
        <f t="shared" si="0"/>
        <v/>
      </c>
    </row>
    <row r="51" spans="1:6" x14ac:dyDescent="0.25">
      <c r="A51" s="6"/>
      <c r="F51" s="12" t="str">
        <f t="shared" si="0"/>
        <v/>
      </c>
    </row>
    <row r="52" spans="1:6" x14ac:dyDescent="0.25">
      <c r="A52" s="6"/>
      <c r="F52" s="12" t="str">
        <f t="shared" si="0"/>
        <v/>
      </c>
    </row>
    <row r="53" spans="1:6" x14ac:dyDescent="0.25">
      <c r="A53" s="6"/>
      <c r="F53" s="12" t="str">
        <f t="shared" si="0"/>
        <v/>
      </c>
    </row>
    <row r="54" spans="1:6" x14ac:dyDescent="0.25">
      <c r="A54" s="6"/>
      <c r="F54" s="12" t="str">
        <f t="shared" si="0"/>
        <v/>
      </c>
    </row>
    <row r="55" spans="1:6" x14ac:dyDescent="0.25">
      <c r="A55" s="6"/>
      <c r="F55" s="12" t="str">
        <f t="shared" si="0"/>
        <v/>
      </c>
    </row>
    <row r="56" spans="1:6" x14ac:dyDescent="0.25">
      <c r="A56" s="6"/>
      <c r="F56" s="12" t="str">
        <f t="shared" si="0"/>
        <v/>
      </c>
    </row>
    <row r="57" spans="1:6" x14ac:dyDescent="0.25">
      <c r="A57" s="6"/>
      <c r="F57" s="12" t="str">
        <f t="shared" si="0"/>
        <v/>
      </c>
    </row>
    <row r="58" spans="1:6" x14ac:dyDescent="0.25">
      <c r="A58" s="6"/>
      <c r="F58" s="12" t="str">
        <f t="shared" si="0"/>
        <v/>
      </c>
    </row>
    <row r="59" spans="1:6" x14ac:dyDescent="0.25">
      <c r="A59" s="6"/>
      <c r="F59" s="12" t="str">
        <f t="shared" si="0"/>
        <v/>
      </c>
    </row>
    <row r="60" spans="1:6" x14ac:dyDescent="0.25">
      <c r="A60" s="6"/>
      <c r="F60" s="12" t="str">
        <f t="shared" si="0"/>
        <v/>
      </c>
    </row>
    <row r="61" spans="1:6" x14ac:dyDescent="0.25">
      <c r="A61" s="6"/>
      <c r="F61" s="12" t="str">
        <f t="shared" si="0"/>
        <v/>
      </c>
    </row>
    <row r="62" spans="1:6" x14ac:dyDescent="0.25">
      <c r="A62" s="6"/>
      <c r="F62" s="12" t="str">
        <f t="shared" si="0"/>
        <v/>
      </c>
    </row>
    <row r="63" spans="1:6" x14ac:dyDescent="0.25">
      <c r="A63" s="6"/>
      <c r="F63" s="12" t="str">
        <f t="shared" si="0"/>
        <v/>
      </c>
    </row>
    <row r="64" spans="1:6" x14ac:dyDescent="0.25">
      <c r="A64" s="6"/>
      <c r="F64" s="12" t="str">
        <f t="shared" si="0"/>
        <v/>
      </c>
    </row>
    <row r="65" spans="1:6" x14ac:dyDescent="0.25">
      <c r="A65" s="6"/>
      <c r="F65" s="12" t="str">
        <f t="shared" si="0"/>
        <v/>
      </c>
    </row>
    <row r="66" spans="1:6" x14ac:dyDescent="0.25">
      <c r="A66" s="6"/>
      <c r="F66" s="12" t="str">
        <f t="shared" si="0"/>
        <v/>
      </c>
    </row>
    <row r="67" spans="1:6" x14ac:dyDescent="0.25">
      <c r="A67" s="6"/>
      <c r="F67" s="12" t="str">
        <f t="shared" ref="F67:F130" si="1">IF((D67*E67)=0, "", D67*E67)</f>
        <v/>
      </c>
    </row>
    <row r="68" spans="1:6" x14ac:dyDescent="0.25">
      <c r="A68" s="6"/>
      <c r="F68" s="12" t="str">
        <f t="shared" si="1"/>
        <v/>
      </c>
    </row>
    <row r="69" spans="1:6" x14ac:dyDescent="0.25">
      <c r="A69" s="6"/>
      <c r="F69" s="12" t="str">
        <f t="shared" si="1"/>
        <v/>
      </c>
    </row>
    <row r="70" spans="1:6" x14ac:dyDescent="0.25">
      <c r="A70" s="6"/>
      <c r="F70" s="12" t="str">
        <f t="shared" si="1"/>
        <v/>
      </c>
    </row>
    <row r="71" spans="1:6" x14ac:dyDescent="0.25">
      <c r="A71" s="6"/>
      <c r="F71" s="12" t="str">
        <f t="shared" si="1"/>
        <v/>
      </c>
    </row>
    <row r="72" spans="1:6" x14ac:dyDescent="0.25">
      <c r="A72" s="6"/>
      <c r="F72" s="12" t="str">
        <f t="shared" si="1"/>
        <v/>
      </c>
    </row>
    <row r="73" spans="1:6" x14ac:dyDescent="0.25">
      <c r="A73" s="6"/>
      <c r="F73" s="12" t="str">
        <f t="shared" si="1"/>
        <v/>
      </c>
    </row>
    <row r="74" spans="1:6" x14ac:dyDescent="0.25">
      <c r="A74" s="6"/>
      <c r="F74" s="12" t="str">
        <f t="shared" si="1"/>
        <v/>
      </c>
    </row>
    <row r="75" spans="1:6" x14ac:dyDescent="0.25">
      <c r="A75" s="6"/>
      <c r="F75" s="12" t="str">
        <f t="shared" si="1"/>
        <v/>
      </c>
    </row>
    <row r="76" spans="1:6" x14ac:dyDescent="0.25">
      <c r="A76" s="6"/>
      <c r="F76" s="12" t="str">
        <f t="shared" si="1"/>
        <v/>
      </c>
    </row>
    <row r="77" spans="1:6" x14ac:dyDescent="0.25">
      <c r="A77" s="6"/>
      <c r="F77" s="12" t="str">
        <f t="shared" si="1"/>
        <v/>
      </c>
    </row>
    <row r="78" spans="1:6" x14ac:dyDescent="0.25">
      <c r="A78" s="6"/>
      <c r="F78" s="12" t="str">
        <f t="shared" si="1"/>
        <v/>
      </c>
    </row>
    <row r="79" spans="1:6" x14ac:dyDescent="0.25">
      <c r="A79" s="6"/>
      <c r="F79" s="12" t="str">
        <f t="shared" si="1"/>
        <v/>
      </c>
    </row>
    <row r="80" spans="1:6" x14ac:dyDescent="0.25">
      <c r="A80" s="6"/>
      <c r="F80" s="12" t="str">
        <f t="shared" si="1"/>
        <v/>
      </c>
    </row>
    <row r="81" spans="1:6" x14ac:dyDescent="0.25">
      <c r="A81" s="6"/>
      <c r="F81" s="12" t="str">
        <f t="shared" si="1"/>
        <v/>
      </c>
    </row>
    <row r="82" spans="1:6" x14ac:dyDescent="0.25">
      <c r="A82" s="6"/>
      <c r="F82" s="12" t="str">
        <f t="shared" si="1"/>
        <v/>
      </c>
    </row>
    <row r="83" spans="1:6" x14ac:dyDescent="0.25">
      <c r="A83" s="6"/>
      <c r="F83" s="12" t="str">
        <f t="shared" si="1"/>
        <v/>
      </c>
    </row>
    <row r="84" spans="1:6" x14ac:dyDescent="0.25">
      <c r="A84" s="6"/>
      <c r="F84" s="12" t="str">
        <f t="shared" si="1"/>
        <v/>
      </c>
    </row>
    <row r="85" spans="1:6" x14ac:dyDescent="0.25">
      <c r="A85" s="6"/>
      <c r="F85" s="12" t="str">
        <f t="shared" si="1"/>
        <v/>
      </c>
    </row>
    <row r="86" spans="1:6" x14ac:dyDescent="0.25">
      <c r="A86" s="6"/>
      <c r="F86" s="12" t="str">
        <f t="shared" si="1"/>
        <v/>
      </c>
    </row>
    <row r="87" spans="1:6" x14ac:dyDescent="0.25">
      <c r="A87" s="6"/>
      <c r="F87" s="12" t="str">
        <f t="shared" si="1"/>
        <v/>
      </c>
    </row>
    <row r="88" spans="1:6" x14ac:dyDescent="0.25">
      <c r="A88" s="6"/>
      <c r="F88" s="12" t="str">
        <f t="shared" si="1"/>
        <v/>
      </c>
    </row>
    <row r="89" spans="1:6" x14ac:dyDescent="0.25">
      <c r="A89" s="6"/>
      <c r="F89" s="12" t="str">
        <f t="shared" si="1"/>
        <v/>
      </c>
    </row>
    <row r="90" spans="1:6" x14ac:dyDescent="0.25">
      <c r="A90" s="6"/>
      <c r="F90" s="12" t="str">
        <f t="shared" si="1"/>
        <v/>
      </c>
    </row>
    <row r="91" spans="1:6" x14ac:dyDescent="0.25">
      <c r="A91" s="6"/>
      <c r="F91" s="12" t="str">
        <f t="shared" si="1"/>
        <v/>
      </c>
    </row>
    <row r="92" spans="1:6" x14ac:dyDescent="0.25">
      <c r="A92" s="6"/>
      <c r="F92" s="12" t="str">
        <f t="shared" si="1"/>
        <v/>
      </c>
    </row>
    <row r="93" spans="1:6" x14ac:dyDescent="0.25">
      <c r="A93" s="6"/>
      <c r="F93" s="12" t="str">
        <f t="shared" si="1"/>
        <v/>
      </c>
    </row>
    <row r="94" spans="1:6" x14ac:dyDescent="0.25">
      <c r="A94" s="6"/>
      <c r="F94" s="12" t="str">
        <f t="shared" si="1"/>
        <v/>
      </c>
    </row>
    <row r="95" spans="1:6" x14ac:dyDescent="0.25">
      <c r="A95" s="6"/>
      <c r="F95" s="12" t="str">
        <f t="shared" si="1"/>
        <v/>
      </c>
    </row>
    <row r="96" spans="1:6" x14ac:dyDescent="0.25">
      <c r="A96" s="6"/>
      <c r="F96" s="12" t="str">
        <f t="shared" si="1"/>
        <v/>
      </c>
    </row>
    <row r="97" spans="1:6" x14ac:dyDescent="0.25">
      <c r="A97" s="6"/>
      <c r="F97" s="12" t="str">
        <f t="shared" si="1"/>
        <v/>
      </c>
    </row>
    <row r="98" spans="1:6" x14ac:dyDescent="0.25">
      <c r="A98" s="6"/>
      <c r="F98" s="12" t="str">
        <f t="shared" si="1"/>
        <v/>
      </c>
    </row>
    <row r="99" spans="1:6" x14ac:dyDescent="0.25">
      <c r="A99" s="6"/>
      <c r="F99" s="12" t="str">
        <f t="shared" si="1"/>
        <v/>
      </c>
    </row>
    <row r="100" spans="1:6" x14ac:dyDescent="0.25">
      <c r="A100" s="6"/>
      <c r="F100" s="12" t="str">
        <f t="shared" si="1"/>
        <v/>
      </c>
    </row>
    <row r="101" spans="1:6" x14ac:dyDescent="0.25">
      <c r="A101" s="6"/>
      <c r="F101" s="12" t="str">
        <f t="shared" si="1"/>
        <v/>
      </c>
    </row>
    <row r="102" spans="1:6" x14ac:dyDescent="0.25">
      <c r="A102" s="6"/>
      <c r="F102" s="12" t="str">
        <f t="shared" si="1"/>
        <v/>
      </c>
    </row>
    <row r="103" spans="1:6" x14ac:dyDescent="0.25">
      <c r="A103" s="6"/>
      <c r="F103" s="12" t="str">
        <f t="shared" si="1"/>
        <v/>
      </c>
    </row>
    <row r="104" spans="1:6" x14ac:dyDescent="0.25">
      <c r="A104" s="6"/>
      <c r="F104" s="12" t="str">
        <f t="shared" si="1"/>
        <v/>
      </c>
    </row>
    <row r="105" spans="1:6" x14ac:dyDescent="0.25">
      <c r="A105" s="6"/>
      <c r="F105" s="12" t="str">
        <f t="shared" si="1"/>
        <v/>
      </c>
    </row>
    <row r="106" spans="1:6" x14ac:dyDescent="0.25">
      <c r="A106" s="6"/>
      <c r="F106" s="12" t="str">
        <f t="shared" si="1"/>
        <v/>
      </c>
    </row>
    <row r="107" spans="1:6" x14ac:dyDescent="0.25">
      <c r="A107" s="6"/>
      <c r="F107" s="12" t="str">
        <f t="shared" si="1"/>
        <v/>
      </c>
    </row>
    <row r="108" spans="1:6" x14ac:dyDescent="0.25">
      <c r="A108" s="6"/>
      <c r="F108" s="12" t="str">
        <f t="shared" si="1"/>
        <v/>
      </c>
    </row>
    <row r="109" spans="1:6" x14ac:dyDescent="0.25">
      <c r="A109" s="6"/>
      <c r="F109" s="12" t="str">
        <f t="shared" si="1"/>
        <v/>
      </c>
    </row>
    <row r="110" spans="1:6" x14ac:dyDescent="0.25">
      <c r="A110" s="6"/>
      <c r="F110" s="12" t="str">
        <f t="shared" si="1"/>
        <v/>
      </c>
    </row>
    <row r="111" spans="1:6" x14ac:dyDescent="0.25">
      <c r="A111" s="6"/>
      <c r="F111" s="12" t="str">
        <f t="shared" si="1"/>
        <v/>
      </c>
    </row>
    <row r="112" spans="1:6" x14ac:dyDescent="0.25">
      <c r="A112" s="6"/>
      <c r="F112" s="12" t="str">
        <f t="shared" si="1"/>
        <v/>
      </c>
    </row>
    <row r="113" spans="1:6" x14ac:dyDescent="0.25">
      <c r="A113" s="6"/>
      <c r="F113" s="12" t="str">
        <f t="shared" si="1"/>
        <v/>
      </c>
    </row>
    <row r="114" spans="1:6" x14ac:dyDescent="0.25">
      <c r="A114" s="6"/>
      <c r="F114" s="12" t="str">
        <f t="shared" si="1"/>
        <v/>
      </c>
    </row>
    <row r="115" spans="1:6" x14ac:dyDescent="0.25">
      <c r="A115" s="6"/>
      <c r="F115" s="12" t="str">
        <f t="shared" si="1"/>
        <v/>
      </c>
    </row>
    <row r="116" spans="1:6" x14ac:dyDescent="0.25">
      <c r="A116" s="6"/>
      <c r="F116" s="12" t="str">
        <f t="shared" si="1"/>
        <v/>
      </c>
    </row>
    <row r="117" spans="1:6" x14ac:dyDescent="0.25">
      <c r="A117" s="6"/>
      <c r="F117" s="12" t="str">
        <f t="shared" si="1"/>
        <v/>
      </c>
    </row>
    <row r="118" spans="1:6" x14ac:dyDescent="0.25">
      <c r="A118" s="6"/>
      <c r="F118" s="12" t="str">
        <f t="shared" si="1"/>
        <v/>
      </c>
    </row>
    <row r="119" spans="1:6" x14ac:dyDescent="0.25">
      <c r="A119" s="6"/>
      <c r="F119" s="12" t="str">
        <f t="shared" si="1"/>
        <v/>
      </c>
    </row>
    <row r="120" spans="1:6" x14ac:dyDescent="0.25">
      <c r="A120" s="6"/>
      <c r="F120" s="12" t="str">
        <f t="shared" si="1"/>
        <v/>
      </c>
    </row>
    <row r="121" spans="1:6" x14ac:dyDescent="0.25">
      <c r="A121" s="6"/>
      <c r="F121" s="12" t="str">
        <f t="shared" si="1"/>
        <v/>
      </c>
    </row>
    <row r="122" spans="1:6" x14ac:dyDescent="0.25">
      <c r="A122" s="6"/>
      <c r="F122" s="12" t="str">
        <f t="shared" si="1"/>
        <v/>
      </c>
    </row>
    <row r="123" spans="1:6" x14ac:dyDescent="0.25">
      <c r="A123" s="6"/>
      <c r="F123" s="12" t="str">
        <f t="shared" si="1"/>
        <v/>
      </c>
    </row>
    <row r="124" spans="1:6" x14ac:dyDescent="0.25">
      <c r="A124" s="6"/>
      <c r="F124" s="12" t="str">
        <f t="shared" si="1"/>
        <v/>
      </c>
    </row>
    <row r="125" spans="1:6" x14ac:dyDescent="0.25">
      <c r="A125" s="6"/>
      <c r="F125" s="12" t="str">
        <f t="shared" si="1"/>
        <v/>
      </c>
    </row>
    <row r="126" spans="1:6" x14ac:dyDescent="0.25">
      <c r="A126" s="6"/>
      <c r="F126" s="12" t="str">
        <f t="shared" si="1"/>
        <v/>
      </c>
    </row>
    <row r="127" spans="1:6" x14ac:dyDescent="0.25">
      <c r="A127" s="6"/>
      <c r="F127" s="12" t="str">
        <f t="shared" si="1"/>
        <v/>
      </c>
    </row>
    <row r="128" spans="1:6" x14ac:dyDescent="0.25">
      <c r="A128" s="6"/>
      <c r="F128" s="12" t="str">
        <f t="shared" si="1"/>
        <v/>
      </c>
    </row>
    <row r="129" spans="1:6" x14ac:dyDescent="0.25">
      <c r="A129" s="6"/>
      <c r="F129" s="12" t="str">
        <f t="shared" si="1"/>
        <v/>
      </c>
    </row>
    <row r="130" spans="1:6" x14ac:dyDescent="0.25">
      <c r="A130" s="6"/>
      <c r="F130" s="12" t="str">
        <f t="shared" si="1"/>
        <v/>
      </c>
    </row>
    <row r="131" spans="1:6" x14ac:dyDescent="0.25">
      <c r="A131" s="6"/>
      <c r="F131" s="12" t="str">
        <f t="shared" ref="F131:F194" si="2">IF((D131*E131)=0, "", D131*E131)</f>
        <v/>
      </c>
    </row>
    <row r="132" spans="1:6" x14ac:dyDescent="0.25">
      <c r="A132" s="6"/>
      <c r="F132" s="12" t="str">
        <f t="shared" si="2"/>
        <v/>
      </c>
    </row>
    <row r="133" spans="1:6" x14ac:dyDescent="0.25">
      <c r="A133" s="6"/>
      <c r="F133" s="12" t="str">
        <f t="shared" si="2"/>
        <v/>
      </c>
    </row>
    <row r="134" spans="1:6" x14ac:dyDescent="0.25">
      <c r="A134" s="6"/>
      <c r="F134" s="12" t="str">
        <f t="shared" si="2"/>
        <v/>
      </c>
    </row>
    <row r="135" spans="1:6" x14ac:dyDescent="0.25">
      <c r="A135" s="6"/>
      <c r="F135" s="12" t="str">
        <f t="shared" si="2"/>
        <v/>
      </c>
    </row>
    <row r="136" spans="1:6" x14ac:dyDescent="0.25">
      <c r="A136" s="6"/>
      <c r="F136" s="12" t="str">
        <f t="shared" si="2"/>
        <v/>
      </c>
    </row>
    <row r="137" spans="1:6" x14ac:dyDescent="0.25">
      <c r="A137" s="6"/>
      <c r="F137" s="12" t="str">
        <f t="shared" si="2"/>
        <v/>
      </c>
    </row>
    <row r="138" spans="1:6" x14ac:dyDescent="0.25">
      <c r="A138" s="6"/>
      <c r="F138" s="12" t="str">
        <f t="shared" si="2"/>
        <v/>
      </c>
    </row>
    <row r="139" spans="1:6" x14ac:dyDescent="0.25">
      <c r="A139" s="6"/>
      <c r="F139" s="12" t="str">
        <f t="shared" si="2"/>
        <v/>
      </c>
    </row>
    <row r="140" spans="1:6" x14ac:dyDescent="0.25">
      <c r="A140" s="6"/>
      <c r="F140" s="12" t="str">
        <f t="shared" si="2"/>
        <v/>
      </c>
    </row>
    <row r="141" spans="1:6" x14ac:dyDescent="0.25">
      <c r="A141" s="6"/>
      <c r="F141" s="12" t="str">
        <f t="shared" si="2"/>
        <v/>
      </c>
    </row>
    <row r="142" spans="1:6" x14ac:dyDescent="0.25">
      <c r="A142" s="6"/>
      <c r="F142" s="12" t="str">
        <f t="shared" si="2"/>
        <v/>
      </c>
    </row>
    <row r="143" spans="1:6" x14ac:dyDescent="0.25">
      <c r="A143" s="6"/>
      <c r="F143" s="12" t="str">
        <f t="shared" si="2"/>
        <v/>
      </c>
    </row>
    <row r="144" spans="1:6" x14ac:dyDescent="0.25">
      <c r="A144" s="6"/>
      <c r="F144" s="12" t="str">
        <f t="shared" si="2"/>
        <v/>
      </c>
    </row>
    <row r="145" spans="1:6" x14ac:dyDescent="0.25">
      <c r="A145" s="6"/>
      <c r="F145" s="12" t="str">
        <f t="shared" si="2"/>
        <v/>
      </c>
    </row>
    <row r="146" spans="1:6" x14ac:dyDescent="0.25">
      <c r="A146" s="6"/>
      <c r="F146" s="12" t="str">
        <f t="shared" si="2"/>
        <v/>
      </c>
    </row>
    <row r="147" spans="1:6" x14ac:dyDescent="0.25">
      <c r="A147" s="6"/>
      <c r="F147" s="12" t="str">
        <f t="shared" si="2"/>
        <v/>
      </c>
    </row>
    <row r="148" spans="1:6" x14ac:dyDescent="0.25">
      <c r="A148" s="6"/>
      <c r="F148" s="12" t="str">
        <f t="shared" si="2"/>
        <v/>
      </c>
    </row>
    <row r="149" spans="1:6" x14ac:dyDescent="0.25">
      <c r="A149" s="6"/>
      <c r="F149" s="12" t="str">
        <f t="shared" si="2"/>
        <v/>
      </c>
    </row>
    <row r="150" spans="1:6" x14ac:dyDescent="0.25">
      <c r="A150" s="6"/>
      <c r="F150" s="12" t="str">
        <f t="shared" si="2"/>
        <v/>
      </c>
    </row>
    <row r="151" spans="1:6" x14ac:dyDescent="0.25">
      <c r="A151" s="6"/>
      <c r="F151" s="12" t="str">
        <f t="shared" si="2"/>
        <v/>
      </c>
    </row>
    <row r="152" spans="1:6" x14ac:dyDescent="0.25">
      <c r="A152" s="6"/>
      <c r="F152" s="12" t="str">
        <f t="shared" si="2"/>
        <v/>
      </c>
    </row>
    <row r="153" spans="1:6" x14ac:dyDescent="0.25">
      <c r="A153" s="6"/>
      <c r="F153" s="12" t="str">
        <f t="shared" si="2"/>
        <v/>
      </c>
    </row>
    <row r="154" spans="1:6" x14ac:dyDescent="0.25">
      <c r="A154" s="6"/>
      <c r="F154" s="12" t="str">
        <f t="shared" si="2"/>
        <v/>
      </c>
    </row>
    <row r="155" spans="1:6" x14ac:dyDescent="0.25">
      <c r="A155" s="6"/>
      <c r="F155" s="12" t="str">
        <f t="shared" si="2"/>
        <v/>
      </c>
    </row>
    <row r="156" spans="1:6" x14ac:dyDescent="0.25">
      <c r="A156" s="6"/>
      <c r="F156" s="12" t="str">
        <f t="shared" si="2"/>
        <v/>
      </c>
    </row>
    <row r="157" spans="1:6" x14ac:dyDescent="0.25">
      <c r="A157" s="6"/>
      <c r="F157" s="12" t="str">
        <f t="shared" si="2"/>
        <v/>
      </c>
    </row>
    <row r="158" spans="1:6" x14ac:dyDescent="0.25">
      <c r="A158" s="6"/>
      <c r="F158" s="12" t="str">
        <f t="shared" si="2"/>
        <v/>
      </c>
    </row>
    <row r="159" spans="1:6" x14ac:dyDescent="0.25">
      <c r="A159" s="6"/>
      <c r="F159" s="12" t="str">
        <f t="shared" si="2"/>
        <v/>
      </c>
    </row>
    <row r="160" spans="1:6" x14ac:dyDescent="0.25">
      <c r="A160" s="6"/>
      <c r="F160" s="12" t="str">
        <f t="shared" si="2"/>
        <v/>
      </c>
    </row>
    <row r="161" spans="1:6" x14ac:dyDescent="0.25">
      <c r="A161" s="6"/>
      <c r="F161" s="12" t="str">
        <f t="shared" si="2"/>
        <v/>
      </c>
    </row>
    <row r="162" spans="1:6" x14ac:dyDescent="0.25">
      <c r="A162" s="6"/>
      <c r="F162" s="12" t="str">
        <f t="shared" si="2"/>
        <v/>
      </c>
    </row>
    <row r="163" spans="1:6" x14ac:dyDescent="0.25">
      <c r="A163" s="6"/>
      <c r="F163" s="12" t="str">
        <f t="shared" si="2"/>
        <v/>
      </c>
    </row>
    <row r="164" spans="1:6" x14ac:dyDescent="0.25">
      <c r="A164" s="6"/>
      <c r="F164" s="12" t="str">
        <f t="shared" si="2"/>
        <v/>
      </c>
    </row>
    <row r="165" spans="1:6" x14ac:dyDescent="0.25">
      <c r="A165" s="6"/>
      <c r="F165" s="12" t="str">
        <f t="shared" si="2"/>
        <v/>
      </c>
    </row>
    <row r="166" spans="1:6" x14ac:dyDescent="0.25">
      <c r="A166" s="6"/>
      <c r="F166" s="12" t="str">
        <f t="shared" si="2"/>
        <v/>
      </c>
    </row>
    <row r="167" spans="1:6" x14ac:dyDescent="0.25">
      <c r="A167" s="6"/>
      <c r="F167" s="12" t="str">
        <f t="shared" si="2"/>
        <v/>
      </c>
    </row>
    <row r="168" spans="1:6" x14ac:dyDescent="0.25">
      <c r="A168" s="6"/>
      <c r="F168" s="12" t="str">
        <f t="shared" si="2"/>
        <v/>
      </c>
    </row>
    <row r="169" spans="1:6" x14ac:dyDescent="0.25">
      <c r="A169" s="6"/>
      <c r="F169" s="12" t="str">
        <f t="shared" si="2"/>
        <v/>
      </c>
    </row>
    <row r="170" spans="1:6" x14ac:dyDescent="0.25">
      <c r="A170" s="6"/>
      <c r="F170" s="12" t="str">
        <f t="shared" si="2"/>
        <v/>
      </c>
    </row>
    <row r="171" spans="1:6" x14ac:dyDescent="0.25">
      <c r="A171" s="6"/>
      <c r="F171" s="12" t="str">
        <f t="shared" si="2"/>
        <v/>
      </c>
    </row>
    <row r="172" spans="1:6" x14ac:dyDescent="0.25">
      <c r="A172" s="6"/>
      <c r="F172" s="12" t="str">
        <f t="shared" si="2"/>
        <v/>
      </c>
    </row>
    <row r="173" spans="1:6" x14ac:dyDescent="0.25">
      <c r="A173" s="6"/>
      <c r="F173" s="12" t="str">
        <f t="shared" si="2"/>
        <v/>
      </c>
    </row>
    <row r="174" spans="1:6" x14ac:dyDescent="0.25">
      <c r="A174" s="6"/>
      <c r="F174" s="12" t="str">
        <f t="shared" si="2"/>
        <v/>
      </c>
    </row>
    <row r="175" spans="1:6" x14ac:dyDescent="0.25">
      <c r="A175" s="6"/>
      <c r="F175" s="12" t="str">
        <f t="shared" si="2"/>
        <v/>
      </c>
    </row>
    <row r="176" spans="1:6" x14ac:dyDescent="0.25">
      <c r="A176" s="6"/>
      <c r="F176" s="12" t="str">
        <f t="shared" si="2"/>
        <v/>
      </c>
    </row>
    <row r="177" spans="1:6" x14ac:dyDescent="0.25">
      <c r="A177" s="6"/>
      <c r="F177" s="12" t="str">
        <f t="shared" si="2"/>
        <v/>
      </c>
    </row>
    <row r="178" spans="1:6" x14ac:dyDescent="0.25">
      <c r="A178" s="6"/>
      <c r="F178" s="12" t="str">
        <f t="shared" si="2"/>
        <v/>
      </c>
    </row>
    <row r="179" spans="1:6" x14ac:dyDescent="0.25">
      <c r="A179" s="6"/>
      <c r="F179" s="12" t="str">
        <f t="shared" si="2"/>
        <v/>
      </c>
    </row>
    <row r="180" spans="1:6" x14ac:dyDescent="0.25">
      <c r="A180" s="6"/>
      <c r="F180" s="12" t="str">
        <f t="shared" si="2"/>
        <v/>
      </c>
    </row>
    <row r="181" spans="1:6" x14ac:dyDescent="0.25">
      <c r="A181" s="6"/>
      <c r="F181" s="12" t="str">
        <f t="shared" si="2"/>
        <v/>
      </c>
    </row>
    <row r="182" spans="1:6" x14ac:dyDescent="0.25">
      <c r="A182" s="6"/>
      <c r="F182" s="12" t="str">
        <f t="shared" si="2"/>
        <v/>
      </c>
    </row>
    <row r="183" spans="1:6" x14ac:dyDescent="0.25">
      <c r="A183" s="6"/>
      <c r="F183" s="12" t="str">
        <f t="shared" si="2"/>
        <v/>
      </c>
    </row>
    <row r="184" spans="1:6" x14ac:dyDescent="0.25">
      <c r="A184" s="6"/>
      <c r="F184" s="12" t="str">
        <f t="shared" si="2"/>
        <v/>
      </c>
    </row>
    <row r="185" spans="1:6" x14ac:dyDescent="0.25">
      <c r="A185" s="6"/>
      <c r="F185" s="12" t="str">
        <f t="shared" si="2"/>
        <v/>
      </c>
    </row>
    <row r="186" spans="1:6" x14ac:dyDescent="0.25">
      <c r="A186" s="6"/>
      <c r="F186" s="12" t="str">
        <f t="shared" si="2"/>
        <v/>
      </c>
    </row>
    <row r="187" spans="1:6" x14ac:dyDescent="0.25">
      <c r="A187" s="6"/>
      <c r="F187" s="12" t="str">
        <f t="shared" si="2"/>
        <v/>
      </c>
    </row>
    <row r="188" spans="1:6" x14ac:dyDescent="0.25">
      <c r="A188" s="6"/>
      <c r="F188" s="12" t="str">
        <f t="shared" si="2"/>
        <v/>
      </c>
    </row>
    <row r="189" spans="1:6" x14ac:dyDescent="0.25">
      <c r="A189" s="6"/>
      <c r="F189" s="12" t="str">
        <f t="shared" si="2"/>
        <v/>
      </c>
    </row>
    <row r="190" spans="1:6" x14ac:dyDescent="0.25">
      <c r="A190" s="6"/>
      <c r="F190" s="12" t="str">
        <f t="shared" si="2"/>
        <v/>
      </c>
    </row>
    <row r="191" spans="1:6" x14ac:dyDescent="0.25">
      <c r="A191" s="6"/>
      <c r="F191" s="12" t="str">
        <f t="shared" si="2"/>
        <v/>
      </c>
    </row>
    <row r="192" spans="1:6" x14ac:dyDescent="0.25">
      <c r="A192" s="6"/>
      <c r="F192" s="12" t="str">
        <f t="shared" si="2"/>
        <v/>
      </c>
    </row>
    <row r="193" spans="1:6" x14ac:dyDescent="0.25">
      <c r="A193" s="6"/>
      <c r="F193" s="12" t="str">
        <f t="shared" si="2"/>
        <v/>
      </c>
    </row>
    <row r="194" spans="1:6" x14ac:dyDescent="0.25">
      <c r="A194" s="6"/>
      <c r="F194" s="12" t="str">
        <f t="shared" si="2"/>
        <v/>
      </c>
    </row>
    <row r="195" spans="1:6" x14ac:dyDescent="0.25">
      <c r="A195" s="6"/>
      <c r="F195" s="12" t="str">
        <f t="shared" ref="F195:F258" si="3">IF((D195*E195)=0, "", D195*E195)</f>
        <v/>
      </c>
    </row>
    <row r="196" spans="1:6" x14ac:dyDescent="0.25">
      <c r="A196" s="6"/>
      <c r="F196" s="12" t="str">
        <f t="shared" si="3"/>
        <v/>
      </c>
    </row>
    <row r="197" spans="1:6" x14ac:dyDescent="0.25">
      <c r="A197" s="6"/>
      <c r="F197" s="12" t="str">
        <f t="shared" si="3"/>
        <v/>
      </c>
    </row>
    <row r="198" spans="1:6" x14ac:dyDescent="0.25">
      <c r="A198" s="6"/>
      <c r="F198" s="12" t="str">
        <f t="shared" si="3"/>
        <v/>
      </c>
    </row>
    <row r="199" spans="1:6" x14ac:dyDescent="0.25">
      <c r="A199" s="6"/>
      <c r="F199" s="12" t="str">
        <f t="shared" si="3"/>
        <v/>
      </c>
    </row>
    <row r="200" spans="1:6" x14ac:dyDescent="0.25">
      <c r="A200" s="6"/>
      <c r="F200" s="12" t="str">
        <f t="shared" si="3"/>
        <v/>
      </c>
    </row>
    <row r="201" spans="1:6" x14ac:dyDescent="0.25">
      <c r="A201" s="6"/>
      <c r="F201" s="12" t="str">
        <f t="shared" si="3"/>
        <v/>
      </c>
    </row>
    <row r="202" spans="1:6" x14ac:dyDescent="0.25">
      <c r="A202" s="6"/>
      <c r="F202" s="12" t="str">
        <f t="shared" si="3"/>
        <v/>
      </c>
    </row>
    <row r="203" spans="1:6" x14ac:dyDescent="0.25">
      <c r="A203" s="6"/>
      <c r="F203" s="12" t="str">
        <f t="shared" si="3"/>
        <v/>
      </c>
    </row>
    <row r="204" spans="1:6" x14ac:dyDescent="0.25">
      <c r="A204" s="6"/>
      <c r="F204" s="12" t="str">
        <f t="shared" si="3"/>
        <v/>
      </c>
    </row>
    <row r="205" spans="1:6" x14ac:dyDescent="0.25">
      <c r="A205" s="6"/>
      <c r="F205" s="12" t="str">
        <f t="shared" si="3"/>
        <v/>
      </c>
    </row>
    <row r="206" spans="1:6" x14ac:dyDescent="0.25">
      <c r="A206" s="6"/>
      <c r="F206" s="12" t="str">
        <f t="shared" si="3"/>
        <v/>
      </c>
    </row>
    <row r="207" spans="1:6" x14ac:dyDescent="0.25">
      <c r="A207" s="6"/>
      <c r="F207" s="12" t="str">
        <f t="shared" si="3"/>
        <v/>
      </c>
    </row>
    <row r="208" spans="1:6" x14ac:dyDescent="0.25">
      <c r="A208" s="6"/>
      <c r="F208" s="12" t="str">
        <f t="shared" si="3"/>
        <v/>
      </c>
    </row>
    <row r="209" spans="1:6" x14ac:dyDescent="0.25">
      <c r="A209" s="6"/>
      <c r="F209" s="12" t="str">
        <f t="shared" si="3"/>
        <v/>
      </c>
    </row>
    <row r="210" spans="1:6" x14ac:dyDescent="0.25">
      <c r="A210" s="6"/>
      <c r="F210" s="12" t="str">
        <f t="shared" si="3"/>
        <v/>
      </c>
    </row>
    <row r="211" spans="1:6" x14ac:dyDescent="0.25">
      <c r="A211" s="6"/>
      <c r="F211" s="12" t="str">
        <f t="shared" si="3"/>
        <v/>
      </c>
    </row>
    <row r="212" spans="1:6" x14ac:dyDescent="0.25">
      <c r="A212" s="6"/>
      <c r="F212" s="12" t="str">
        <f t="shared" si="3"/>
        <v/>
      </c>
    </row>
    <row r="213" spans="1:6" x14ac:dyDescent="0.25">
      <c r="A213" s="6"/>
      <c r="F213" s="12" t="str">
        <f t="shared" si="3"/>
        <v/>
      </c>
    </row>
    <row r="214" spans="1:6" x14ac:dyDescent="0.25">
      <c r="A214" s="6"/>
      <c r="F214" s="12" t="str">
        <f t="shared" si="3"/>
        <v/>
      </c>
    </row>
    <row r="215" spans="1:6" x14ac:dyDescent="0.25">
      <c r="A215" s="6"/>
      <c r="F215" s="12" t="str">
        <f t="shared" si="3"/>
        <v/>
      </c>
    </row>
    <row r="216" spans="1:6" x14ac:dyDescent="0.25">
      <c r="A216" s="6"/>
      <c r="F216" s="12" t="str">
        <f t="shared" si="3"/>
        <v/>
      </c>
    </row>
    <row r="217" spans="1:6" x14ac:dyDescent="0.25">
      <c r="A217" s="6"/>
      <c r="F217" s="12" t="str">
        <f t="shared" si="3"/>
        <v/>
      </c>
    </row>
    <row r="218" spans="1:6" x14ac:dyDescent="0.25">
      <c r="A218" s="6"/>
      <c r="F218" s="12" t="str">
        <f t="shared" si="3"/>
        <v/>
      </c>
    </row>
    <row r="219" spans="1:6" x14ac:dyDescent="0.25">
      <c r="A219" s="6"/>
      <c r="F219" s="12" t="str">
        <f t="shared" si="3"/>
        <v/>
      </c>
    </row>
    <row r="220" spans="1:6" x14ac:dyDescent="0.25">
      <c r="A220" s="6"/>
      <c r="F220" s="12" t="str">
        <f t="shared" si="3"/>
        <v/>
      </c>
    </row>
    <row r="221" spans="1:6" x14ac:dyDescent="0.25">
      <c r="A221" s="6"/>
      <c r="F221" s="12" t="str">
        <f t="shared" si="3"/>
        <v/>
      </c>
    </row>
    <row r="222" spans="1:6" x14ac:dyDescent="0.25">
      <c r="A222" s="6"/>
      <c r="F222" s="12" t="str">
        <f t="shared" si="3"/>
        <v/>
      </c>
    </row>
    <row r="223" spans="1:6" x14ac:dyDescent="0.25">
      <c r="A223" s="6"/>
      <c r="F223" s="12" t="str">
        <f t="shared" si="3"/>
        <v/>
      </c>
    </row>
    <row r="224" spans="1:6" x14ac:dyDescent="0.25">
      <c r="A224" s="6"/>
      <c r="F224" s="12" t="str">
        <f t="shared" si="3"/>
        <v/>
      </c>
    </row>
    <row r="225" spans="1:6" x14ac:dyDescent="0.25">
      <c r="A225" s="6"/>
      <c r="F225" s="12" t="str">
        <f t="shared" si="3"/>
        <v/>
      </c>
    </row>
    <row r="226" spans="1:6" x14ac:dyDescent="0.25">
      <c r="A226" s="6"/>
      <c r="F226" s="12" t="str">
        <f t="shared" si="3"/>
        <v/>
      </c>
    </row>
    <row r="227" spans="1:6" x14ac:dyDescent="0.25">
      <c r="A227" s="6"/>
      <c r="F227" s="12" t="str">
        <f t="shared" si="3"/>
        <v/>
      </c>
    </row>
    <row r="228" spans="1:6" x14ac:dyDescent="0.25">
      <c r="A228" s="6"/>
      <c r="F228" s="12" t="str">
        <f t="shared" si="3"/>
        <v/>
      </c>
    </row>
    <row r="229" spans="1:6" x14ac:dyDescent="0.25">
      <c r="A229" s="6"/>
      <c r="F229" s="12" t="str">
        <f t="shared" si="3"/>
        <v/>
      </c>
    </row>
    <row r="230" spans="1:6" x14ac:dyDescent="0.25">
      <c r="A230" s="6"/>
      <c r="F230" s="12" t="str">
        <f t="shared" si="3"/>
        <v/>
      </c>
    </row>
    <row r="231" spans="1:6" x14ac:dyDescent="0.25">
      <c r="A231" s="6"/>
      <c r="F231" s="12" t="str">
        <f t="shared" si="3"/>
        <v/>
      </c>
    </row>
    <row r="232" spans="1:6" x14ac:dyDescent="0.25">
      <c r="A232" s="6"/>
      <c r="F232" s="12" t="str">
        <f t="shared" si="3"/>
        <v/>
      </c>
    </row>
    <row r="233" spans="1:6" x14ac:dyDescent="0.25">
      <c r="A233" s="6"/>
      <c r="F233" s="12" t="str">
        <f t="shared" si="3"/>
        <v/>
      </c>
    </row>
    <row r="234" spans="1:6" x14ac:dyDescent="0.25">
      <c r="A234" s="6"/>
      <c r="F234" s="12" t="str">
        <f t="shared" si="3"/>
        <v/>
      </c>
    </row>
    <row r="235" spans="1:6" x14ac:dyDescent="0.25">
      <c r="A235" s="6"/>
      <c r="F235" s="12" t="str">
        <f t="shared" si="3"/>
        <v/>
      </c>
    </row>
    <row r="236" spans="1:6" x14ac:dyDescent="0.25">
      <c r="A236" s="6"/>
      <c r="F236" s="12" t="str">
        <f t="shared" si="3"/>
        <v/>
      </c>
    </row>
    <row r="237" spans="1:6" x14ac:dyDescent="0.25">
      <c r="A237" s="6"/>
      <c r="F237" s="12" t="str">
        <f t="shared" si="3"/>
        <v/>
      </c>
    </row>
    <row r="238" spans="1:6" x14ac:dyDescent="0.25">
      <c r="A238" s="6"/>
      <c r="F238" s="12" t="str">
        <f t="shared" si="3"/>
        <v/>
      </c>
    </row>
    <row r="239" spans="1:6" x14ac:dyDescent="0.25">
      <c r="A239" s="6"/>
      <c r="F239" s="12" t="str">
        <f t="shared" si="3"/>
        <v/>
      </c>
    </row>
    <row r="240" spans="1:6" x14ac:dyDescent="0.25">
      <c r="A240" s="6"/>
      <c r="F240" s="12" t="str">
        <f t="shared" si="3"/>
        <v/>
      </c>
    </row>
    <row r="241" spans="1:6" x14ac:dyDescent="0.25">
      <c r="A241" s="6"/>
      <c r="F241" s="12" t="str">
        <f t="shared" si="3"/>
        <v/>
      </c>
    </row>
    <row r="242" spans="1:6" x14ac:dyDescent="0.25">
      <c r="A242" s="6"/>
      <c r="F242" s="12" t="str">
        <f t="shared" si="3"/>
        <v/>
      </c>
    </row>
    <row r="243" spans="1:6" x14ac:dyDescent="0.25">
      <c r="A243" s="6"/>
      <c r="F243" s="12" t="str">
        <f t="shared" si="3"/>
        <v/>
      </c>
    </row>
    <row r="244" spans="1:6" x14ac:dyDescent="0.25">
      <c r="A244" s="6"/>
      <c r="F244" s="12" t="str">
        <f t="shared" si="3"/>
        <v/>
      </c>
    </row>
    <row r="245" spans="1:6" x14ac:dyDescent="0.25">
      <c r="A245" s="6"/>
      <c r="F245" s="12" t="str">
        <f t="shared" si="3"/>
        <v/>
      </c>
    </row>
    <row r="246" spans="1:6" x14ac:dyDescent="0.25">
      <c r="A246" s="6"/>
      <c r="F246" s="12" t="str">
        <f t="shared" si="3"/>
        <v/>
      </c>
    </row>
    <row r="247" spans="1:6" x14ac:dyDescent="0.25">
      <c r="A247" s="6"/>
      <c r="F247" s="12" t="str">
        <f t="shared" si="3"/>
        <v/>
      </c>
    </row>
    <row r="248" spans="1:6" x14ac:dyDescent="0.25">
      <c r="A248" s="6"/>
      <c r="F248" s="12" t="str">
        <f t="shared" si="3"/>
        <v/>
      </c>
    </row>
    <row r="249" spans="1:6" x14ac:dyDescent="0.25">
      <c r="A249" s="6"/>
      <c r="F249" s="12" t="str">
        <f t="shared" si="3"/>
        <v/>
      </c>
    </row>
    <row r="250" spans="1:6" x14ac:dyDescent="0.25">
      <c r="A250" s="6"/>
      <c r="F250" s="12" t="str">
        <f t="shared" si="3"/>
        <v/>
      </c>
    </row>
    <row r="251" spans="1:6" x14ac:dyDescent="0.25">
      <c r="A251" s="6"/>
      <c r="F251" s="12" t="str">
        <f t="shared" si="3"/>
        <v/>
      </c>
    </row>
    <row r="252" spans="1:6" x14ac:dyDescent="0.25">
      <c r="A252" s="6"/>
      <c r="F252" s="12" t="str">
        <f t="shared" si="3"/>
        <v/>
      </c>
    </row>
    <row r="253" spans="1:6" x14ac:dyDescent="0.25">
      <c r="A253" s="6"/>
      <c r="F253" s="12" t="str">
        <f t="shared" si="3"/>
        <v/>
      </c>
    </row>
    <row r="254" spans="1:6" x14ac:dyDescent="0.25">
      <c r="A254" s="6"/>
      <c r="F254" s="12" t="str">
        <f t="shared" si="3"/>
        <v/>
      </c>
    </row>
    <row r="255" spans="1:6" x14ac:dyDescent="0.25">
      <c r="A255" s="6"/>
      <c r="F255" s="12" t="str">
        <f t="shared" si="3"/>
        <v/>
      </c>
    </row>
    <row r="256" spans="1:6" x14ac:dyDescent="0.25">
      <c r="A256" s="6"/>
      <c r="F256" s="12" t="str">
        <f t="shared" si="3"/>
        <v/>
      </c>
    </row>
    <row r="257" spans="1:6" x14ac:dyDescent="0.25">
      <c r="A257" s="6"/>
      <c r="F257" s="12" t="str">
        <f t="shared" si="3"/>
        <v/>
      </c>
    </row>
    <row r="258" spans="1:6" x14ac:dyDescent="0.25">
      <c r="A258" s="6"/>
      <c r="F258" s="12" t="str">
        <f t="shared" si="3"/>
        <v/>
      </c>
    </row>
    <row r="259" spans="1:6" x14ac:dyDescent="0.25">
      <c r="A259" s="6"/>
      <c r="F259" s="12" t="str">
        <f t="shared" ref="F259:F322" si="4">IF((D259*E259)=0, "", D259*E259)</f>
        <v/>
      </c>
    </row>
    <row r="260" spans="1:6" x14ac:dyDescent="0.25">
      <c r="A260" s="6"/>
      <c r="F260" s="12" t="str">
        <f t="shared" si="4"/>
        <v/>
      </c>
    </row>
    <row r="261" spans="1:6" x14ac:dyDescent="0.25">
      <c r="A261" s="6"/>
      <c r="F261" s="12" t="str">
        <f t="shared" si="4"/>
        <v/>
      </c>
    </row>
    <row r="262" spans="1:6" x14ac:dyDescent="0.25">
      <c r="A262" s="6"/>
      <c r="F262" s="12" t="str">
        <f t="shared" si="4"/>
        <v/>
      </c>
    </row>
    <row r="263" spans="1:6" x14ac:dyDescent="0.25">
      <c r="A263" s="6"/>
      <c r="F263" s="12" t="str">
        <f t="shared" si="4"/>
        <v/>
      </c>
    </row>
    <row r="264" spans="1:6" x14ac:dyDescent="0.25">
      <c r="A264" s="6"/>
      <c r="F264" s="12" t="str">
        <f t="shared" si="4"/>
        <v/>
      </c>
    </row>
    <row r="265" spans="1:6" x14ac:dyDescent="0.25">
      <c r="A265" s="6"/>
      <c r="F265" s="12" t="str">
        <f t="shared" si="4"/>
        <v/>
      </c>
    </row>
    <row r="266" spans="1:6" x14ac:dyDescent="0.25">
      <c r="A266" s="6"/>
      <c r="F266" s="12" t="str">
        <f t="shared" si="4"/>
        <v/>
      </c>
    </row>
    <row r="267" spans="1:6" x14ac:dyDescent="0.25">
      <c r="A267" s="6"/>
      <c r="F267" s="12" t="str">
        <f t="shared" si="4"/>
        <v/>
      </c>
    </row>
    <row r="268" spans="1:6" x14ac:dyDescent="0.25">
      <c r="A268" s="6"/>
      <c r="F268" s="12" t="str">
        <f t="shared" si="4"/>
        <v/>
      </c>
    </row>
    <row r="269" spans="1:6" x14ac:dyDescent="0.25">
      <c r="A269" s="6"/>
      <c r="F269" s="12" t="str">
        <f t="shared" si="4"/>
        <v/>
      </c>
    </row>
    <row r="270" spans="1:6" x14ac:dyDescent="0.25">
      <c r="A270" s="6"/>
      <c r="F270" s="12" t="str">
        <f t="shared" si="4"/>
        <v/>
      </c>
    </row>
    <row r="271" spans="1:6" x14ac:dyDescent="0.25">
      <c r="A271" s="6"/>
      <c r="F271" s="12" t="str">
        <f t="shared" si="4"/>
        <v/>
      </c>
    </row>
    <row r="272" spans="1:6" x14ac:dyDescent="0.25">
      <c r="A272" s="6"/>
      <c r="F272" s="12" t="str">
        <f t="shared" si="4"/>
        <v/>
      </c>
    </row>
    <row r="273" spans="1:6" x14ac:dyDescent="0.25">
      <c r="A273" s="6"/>
      <c r="F273" s="12" t="str">
        <f t="shared" si="4"/>
        <v/>
      </c>
    </row>
    <row r="274" spans="1:6" x14ac:dyDescent="0.25">
      <c r="A274" s="6"/>
      <c r="F274" s="12" t="str">
        <f t="shared" si="4"/>
        <v/>
      </c>
    </row>
    <row r="275" spans="1:6" x14ac:dyDescent="0.25">
      <c r="A275" s="6"/>
      <c r="F275" s="12" t="str">
        <f t="shared" si="4"/>
        <v/>
      </c>
    </row>
    <row r="276" spans="1:6" x14ac:dyDescent="0.25">
      <c r="A276" s="6"/>
      <c r="F276" s="12" t="str">
        <f t="shared" si="4"/>
        <v/>
      </c>
    </row>
    <row r="277" spans="1:6" x14ac:dyDescent="0.25">
      <c r="A277" s="6"/>
      <c r="F277" s="12" t="str">
        <f t="shared" si="4"/>
        <v/>
      </c>
    </row>
    <row r="278" spans="1:6" x14ac:dyDescent="0.25">
      <c r="A278" s="6"/>
      <c r="F278" s="12" t="str">
        <f t="shared" si="4"/>
        <v/>
      </c>
    </row>
    <row r="279" spans="1:6" x14ac:dyDescent="0.25">
      <c r="A279" s="6"/>
      <c r="F279" s="12" t="str">
        <f t="shared" si="4"/>
        <v/>
      </c>
    </row>
    <row r="280" spans="1:6" x14ac:dyDescent="0.25">
      <c r="A280" s="6"/>
      <c r="F280" s="12" t="str">
        <f t="shared" si="4"/>
        <v/>
      </c>
    </row>
    <row r="281" spans="1:6" x14ac:dyDescent="0.25">
      <c r="A281" s="6"/>
      <c r="F281" s="12" t="str">
        <f t="shared" si="4"/>
        <v/>
      </c>
    </row>
    <row r="282" spans="1:6" x14ac:dyDescent="0.25">
      <c r="A282" s="6"/>
      <c r="F282" s="12" t="str">
        <f t="shared" si="4"/>
        <v/>
      </c>
    </row>
    <row r="283" spans="1:6" x14ac:dyDescent="0.25">
      <c r="A283" s="6"/>
      <c r="F283" s="12" t="str">
        <f t="shared" si="4"/>
        <v/>
      </c>
    </row>
    <row r="284" spans="1:6" x14ac:dyDescent="0.25">
      <c r="A284" s="6"/>
      <c r="F284" s="12" t="str">
        <f t="shared" si="4"/>
        <v/>
      </c>
    </row>
    <row r="285" spans="1:6" x14ac:dyDescent="0.25">
      <c r="A285" s="6"/>
      <c r="F285" s="12" t="str">
        <f t="shared" si="4"/>
        <v/>
      </c>
    </row>
    <row r="286" spans="1:6" x14ac:dyDescent="0.25">
      <c r="A286" s="6"/>
      <c r="F286" s="12" t="str">
        <f t="shared" si="4"/>
        <v/>
      </c>
    </row>
    <row r="287" spans="1:6" x14ac:dyDescent="0.25">
      <c r="A287" s="6"/>
      <c r="F287" s="12" t="str">
        <f t="shared" si="4"/>
        <v/>
      </c>
    </row>
    <row r="288" spans="1:6" x14ac:dyDescent="0.25">
      <c r="A288" s="6"/>
      <c r="F288" s="12" t="str">
        <f t="shared" si="4"/>
        <v/>
      </c>
    </row>
    <row r="289" spans="1:6" x14ac:dyDescent="0.25">
      <c r="A289" s="6"/>
      <c r="F289" s="12" t="str">
        <f t="shared" si="4"/>
        <v/>
      </c>
    </row>
    <row r="290" spans="1:6" x14ac:dyDescent="0.25">
      <c r="A290" s="6"/>
      <c r="F290" s="12" t="str">
        <f t="shared" si="4"/>
        <v/>
      </c>
    </row>
    <row r="291" spans="1:6" x14ac:dyDescent="0.25">
      <c r="A291" s="6"/>
      <c r="F291" s="12" t="str">
        <f t="shared" si="4"/>
        <v/>
      </c>
    </row>
    <row r="292" spans="1:6" x14ac:dyDescent="0.25">
      <c r="A292" s="6"/>
      <c r="F292" s="12" t="str">
        <f t="shared" si="4"/>
        <v/>
      </c>
    </row>
    <row r="293" spans="1:6" x14ac:dyDescent="0.25">
      <c r="A293" s="6"/>
      <c r="F293" s="12" t="str">
        <f t="shared" si="4"/>
        <v/>
      </c>
    </row>
    <row r="294" spans="1:6" x14ac:dyDescent="0.25">
      <c r="A294" s="6"/>
      <c r="F294" s="12" t="str">
        <f t="shared" si="4"/>
        <v/>
      </c>
    </row>
    <row r="295" spans="1:6" x14ac:dyDescent="0.25">
      <c r="A295" s="6"/>
      <c r="F295" s="12" t="str">
        <f t="shared" si="4"/>
        <v/>
      </c>
    </row>
    <row r="296" spans="1:6" x14ac:dyDescent="0.25">
      <c r="A296" s="6"/>
      <c r="F296" s="12" t="str">
        <f t="shared" si="4"/>
        <v/>
      </c>
    </row>
    <row r="297" spans="1:6" x14ac:dyDescent="0.25">
      <c r="A297" s="6"/>
      <c r="F297" s="12" t="str">
        <f t="shared" si="4"/>
        <v/>
      </c>
    </row>
    <row r="298" spans="1:6" x14ac:dyDescent="0.25">
      <c r="A298" s="6"/>
      <c r="F298" s="12" t="str">
        <f t="shared" si="4"/>
        <v/>
      </c>
    </row>
    <row r="299" spans="1:6" x14ac:dyDescent="0.25">
      <c r="A299" s="6"/>
      <c r="F299" s="12" t="str">
        <f t="shared" si="4"/>
        <v/>
      </c>
    </row>
    <row r="300" spans="1:6" x14ac:dyDescent="0.25">
      <c r="A300" s="6"/>
      <c r="F300" s="12" t="str">
        <f t="shared" si="4"/>
        <v/>
      </c>
    </row>
    <row r="301" spans="1:6" x14ac:dyDescent="0.25">
      <c r="A301" s="6"/>
      <c r="F301" s="12" t="str">
        <f t="shared" si="4"/>
        <v/>
      </c>
    </row>
    <row r="302" spans="1:6" x14ac:dyDescent="0.25">
      <c r="A302" s="6"/>
      <c r="F302" s="12" t="str">
        <f t="shared" si="4"/>
        <v/>
      </c>
    </row>
    <row r="303" spans="1:6" x14ac:dyDescent="0.25">
      <c r="A303" s="6"/>
      <c r="F303" s="12" t="str">
        <f t="shared" si="4"/>
        <v/>
      </c>
    </row>
    <row r="304" spans="1:6" x14ac:dyDescent="0.25">
      <c r="A304" s="6"/>
      <c r="F304" s="12" t="str">
        <f t="shared" si="4"/>
        <v/>
      </c>
    </row>
    <row r="305" spans="1:6" x14ac:dyDescent="0.25">
      <c r="A305" s="6"/>
      <c r="F305" s="12" t="str">
        <f t="shared" si="4"/>
        <v/>
      </c>
    </row>
    <row r="306" spans="1:6" x14ac:dyDescent="0.25">
      <c r="A306" s="6"/>
      <c r="F306" s="12" t="str">
        <f t="shared" si="4"/>
        <v/>
      </c>
    </row>
    <row r="307" spans="1:6" x14ac:dyDescent="0.25">
      <c r="A307" s="6"/>
      <c r="F307" s="12" t="str">
        <f t="shared" si="4"/>
        <v/>
      </c>
    </row>
    <row r="308" spans="1:6" x14ac:dyDescent="0.25">
      <c r="A308" s="6"/>
      <c r="F308" s="12" t="str">
        <f t="shared" si="4"/>
        <v/>
      </c>
    </row>
    <row r="309" spans="1:6" x14ac:dyDescent="0.25">
      <c r="A309" s="6"/>
      <c r="F309" s="12" t="str">
        <f t="shared" si="4"/>
        <v/>
      </c>
    </row>
    <row r="310" spans="1:6" x14ac:dyDescent="0.25">
      <c r="A310" s="6"/>
      <c r="F310" s="12" t="str">
        <f t="shared" si="4"/>
        <v/>
      </c>
    </row>
    <row r="311" spans="1:6" x14ac:dyDescent="0.25">
      <c r="A311" s="6"/>
      <c r="F311" s="12" t="str">
        <f t="shared" si="4"/>
        <v/>
      </c>
    </row>
    <row r="312" spans="1:6" x14ac:dyDescent="0.25">
      <c r="A312" s="6"/>
      <c r="F312" s="12" t="str">
        <f t="shared" si="4"/>
        <v/>
      </c>
    </row>
    <row r="313" spans="1:6" x14ac:dyDescent="0.25">
      <c r="A313" s="6"/>
      <c r="F313" s="12" t="str">
        <f t="shared" si="4"/>
        <v/>
      </c>
    </row>
    <row r="314" spans="1:6" x14ac:dyDescent="0.25">
      <c r="A314" s="6"/>
      <c r="F314" s="12" t="str">
        <f t="shared" si="4"/>
        <v/>
      </c>
    </row>
    <row r="315" spans="1:6" x14ac:dyDescent="0.25">
      <c r="A315" s="6"/>
      <c r="F315" s="12" t="str">
        <f t="shared" si="4"/>
        <v/>
      </c>
    </row>
    <row r="316" spans="1:6" x14ac:dyDescent="0.25">
      <c r="A316" s="6"/>
      <c r="F316" s="12" t="str">
        <f t="shared" si="4"/>
        <v/>
      </c>
    </row>
    <row r="317" spans="1:6" x14ac:dyDescent="0.25">
      <c r="A317" s="6"/>
      <c r="F317" s="12" t="str">
        <f t="shared" si="4"/>
        <v/>
      </c>
    </row>
    <row r="318" spans="1:6" x14ac:dyDescent="0.25">
      <c r="A318" s="6"/>
      <c r="F318" s="12" t="str">
        <f t="shared" si="4"/>
        <v/>
      </c>
    </row>
    <row r="319" spans="1:6" x14ac:dyDescent="0.25">
      <c r="A319" s="6"/>
      <c r="F319" s="12" t="str">
        <f t="shared" si="4"/>
        <v/>
      </c>
    </row>
    <row r="320" spans="1:6" x14ac:dyDescent="0.25">
      <c r="A320" s="6"/>
      <c r="F320" s="12" t="str">
        <f t="shared" si="4"/>
        <v/>
      </c>
    </row>
    <row r="321" spans="1:6" x14ac:dyDescent="0.25">
      <c r="A321" s="6"/>
      <c r="F321" s="12" t="str">
        <f t="shared" si="4"/>
        <v/>
      </c>
    </row>
    <row r="322" spans="1:6" x14ac:dyDescent="0.25">
      <c r="A322" s="6"/>
      <c r="F322" s="12" t="str">
        <f t="shared" si="4"/>
        <v/>
      </c>
    </row>
    <row r="323" spans="1:6" x14ac:dyDescent="0.25">
      <c r="A323" s="6"/>
      <c r="F323" s="12" t="str">
        <f t="shared" ref="F323:F386" si="5">IF((D323*E323)=0, "", D323*E323)</f>
        <v/>
      </c>
    </row>
    <row r="324" spans="1:6" x14ac:dyDescent="0.25">
      <c r="A324" s="6"/>
      <c r="F324" s="12" t="str">
        <f t="shared" si="5"/>
        <v/>
      </c>
    </row>
    <row r="325" spans="1:6" x14ac:dyDescent="0.25">
      <c r="A325" s="6"/>
      <c r="F325" s="12" t="str">
        <f t="shared" si="5"/>
        <v/>
      </c>
    </row>
    <row r="326" spans="1:6" x14ac:dyDescent="0.25">
      <c r="A326" s="6"/>
      <c r="F326" s="12" t="str">
        <f t="shared" si="5"/>
        <v/>
      </c>
    </row>
    <row r="327" spans="1:6" x14ac:dyDescent="0.25">
      <c r="A327" s="6"/>
      <c r="F327" s="12" t="str">
        <f t="shared" si="5"/>
        <v/>
      </c>
    </row>
    <row r="328" spans="1:6" x14ac:dyDescent="0.25">
      <c r="A328" s="6"/>
      <c r="F328" s="12" t="str">
        <f t="shared" si="5"/>
        <v/>
      </c>
    </row>
    <row r="329" spans="1:6" x14ac:dyDescent="0.25">
      <c r="A329" s="6"/>
      <c r="F329" s="12" t="str">
        <f t="shared" si="5"/>
        <v/>
      </c>
    </row>
    <row r="330" spans="1:6" x14ac:dyDescent="0.25">
      <c r="A330" s="6"/>
      <c r="F330" s="12" t="str">
        <f t="shared" si="5"/>
        <v/>
      </c>
    </row>
    <row r="331" spans="1:6" x14ac:dyDescent="0.25">
      <c r="A331" s="6"/>
      <c r="F331" s="12" t="str">
        <f t="shared" si="5"/>
        <v/>
      </c>
    </row>
    <row r="332" spans="1:6" x14ac:dyDescent="0.25">
      <c r="A332" s="6"/>
      <c r="F332" s="12" t="str">
        <f t="shared" si="5"/>
        <v/>
      </c>
    </row>
    <row r="333" spans="1:6" x14ac:dyDescent="0.25">
      <c r="A333" s="6"/>
      <c r="F333" s="12" t="str">
        <f t="shared" si="5"/>
        <v/>
      </c>
    </row>
    <row r="334" spans="1:6" x14ac:dyDescent="0.25">
      <c r="A334" s="6"/>
      <c r="F334" s="12" t="str">
        <f t="shared" si="5"/>
        <v/>
      </c>
    </row>
    <row r="335" spans="1:6" x14ac:dyDescent="0.25">
      <c r="A335" s="6"/>
      <c r="F335" s="12" t="str">
        <f t="shared" si="5"/>
        <v/>
      </c>
    </row>
    <row r="336" spans="1:6" x14ac:dyDescent="0.25">
      <c r="A336" s="6"/>
      <c r="F336" s="12" t="str">
        <f t="shared" si="5"/>
        <v/>
      </c>
    </row>
    <row r="337" spans="1:6" x14ac:dyDescent="0.25">
      <c r="A337" s="6"/>
      <c r="F337" s="12" t="str">
        <f t="shared" si="5"/>
        <v/>
      </c>
    </row>
    <row r="338" spans="1:6" x14ac:dyDescent="0.25">
      <c r="A338" s="6"/>
      <c r="F338" s="12" t="str">
        <f t="shared" si="5"/>
        <v/>
      </c>
    </row>
    <row r="339" spans="1:6" x14ac:dyDescent="0.25">
      <c r="A339" s="6"/>
      <c r="F339" s="12" t="str">
        <f t="shared" si="5"/>
        <v/>
      </c>
    </row>
    <row r="340" spans="1:6" x14ac:dyDescent="0.25">
      <c r="A340" s="6"/>
      <c r="F340" s="12" t="str">
        <f t="shared" si="5"/>
        <v/>
      </c>
    </row>
    <row r="341" spans="1:6" x14ac:dyDescent="0.25">
      <c r="A341" s="6"/>
      <c r="F341" s="12" t="str">
        <f t="shared" si="5"/>
        <v/>
      </c>
    </row>
    <row r="342" spans="1:6" x14ac:dyDescent="0.25">
      <c r="A342" s="6"/>
      <c r="F342" s="12" t="str">
        <f t="shared" si="5"/>
        <v/>
      </c>
    </row>
    <row r="343" spans="1:6" x14ac:dyDescent="0.25">
      <c r="A343" s="6"/>
      <c r="F343" s="12" t="str">
        <f t="shared" si="5"/>
        <v/>
      </c>
    </row>
    <row r="344" spans="1:6" x14ac:dyDescent="0.25">
      <c r="A344" s="6"/>
      <c r="F344" s="12" t="str">
        <f t="shared" si="5"/>
        <v/>
      </c>
    </row>
    <row r="345" spans="1:6" x14ac:dyDescent="0.25">
      <c r="A345" s="6"/>
      <c r="F345" s="12" t="str">
        <f t="shared" si="5"/>
        <v/>
      </c>
    </row>
    <row r="346" spans="1:6" x14ac:dyDescent="0.25">
      <c r="A346" s="6"/>
      <c r="F346" s="12" t="str">
        <f t="shared" si="5"/>
        <v/>
      </c>
    </row>
    <row r="347" spans="1:6" x14ac:dyDescent="0.25">
      <c r="A347" s="6"/>
      <c r="F347" s="12" t="str">
        <f t="shared" si="5"/>
        <v/>
      </c>
    </row>
    <row r="348" spans="1:6" x14ac:dyDescent="0.25">
      <c r="A348" s="6"/>
      <c r="F348" s="12" t="str">
        <f t="shared" si="5"/>
        <v/>
      </c>
    </row>
    <row r="349" spans="1:6" x14ac:dyDescent="0.25">
      <c r="A349" s="6"/>
      <c r="F349" s="12" t="str">
        <f t="shared" si="5"/>
        <v/>
      </c>
    </row>
    <row r="350" spans="1:6" x14ac:dyDescent="0.25">
      <c r="A350" s="6"/>
      <c r="F350" s="12" t="str">
        <f t="shared" si="5"/>
        <v/>
      </c>
    </row>
    <row r="351" spans="1:6" x14ac:dyDescent="0.25">
      <c r="A351" s="6"/>
      <c r="F351" s="12" t="str">
        <f t="shared" si="5"/>
        <v/>
      </c>
    </row>
    <row r="352" spans="1:6" x14ac:dyDescent="0.25">
      <c r="A352" s="6"/>
      <c r="F352" s="12" t="str">
        <f t="shared" si="5"/>
        <v/>
      </c>
    </row>
    <row r="353" spans="1:6" x14ac:dyDescent="0.25">
      <c r="A353" s="6"/>
      <c r="F353" s="12" t="str">
        <f t="shared" si="5"/>
        <v/>
      </c>
    </row>
    <row r="354" spans="1:6" x14ac:dyDescent="0.25">
      <c r="A354" s="6"/>
      <c r="F354" s="12" t="str">
        <f t="shared" si="5"/>
        <v/>
      </c>
    </row>
    <row r="355" spans="1:6" x14ac:dyDescent="0.25">
      <c r="A355" s="6"/>
      <c r="F355" s="12" t="str">
        <f t="shared" si="5"/>
        <v/>
      </c>
    </row>
    <row r="356" spans="1:6" x14ac:dyDescent="0.25">
      <c r="A356" s="6"/>
      <c r="F356" s="12" t="str">
        <f t="shared" si="5"/>
        <v/>
      </c>
    </row>
    <row r="357" spans="1:6" x14ac:dyDescent="0.25">
      <c r="A357" s="6"/>
      <c r="F357" s="12" t="str">
        <f t="shared" si="5"/>
        <v/>
      </c>
    </row>
    <row r="358" spans="1:6" x14ac:dyDescent="0.25">
      <c r="A358" s="6"/>
      <c r="F358" s="12" t="str">
        <f t="shared" si="5"/>
        <v/>
      </c>
    </row>
    <row r="359" spans="1:6" x14ac:dyDescent="0.25">
      <c r="A359" s="6"/>
      <c r="F359" s="12" t="str">
        <f t="shared" si="5"/>
        <v/>
      </c>
    </row>
    <row r="360" spans="1:6" x14ac:dyDescent="0.25">
      <c r="A360" s="6"/>
      <c r="F360" s="12" t="str">
        <f t="shared" si="5"/>
        <v/>
      </c>
    </row>
    <row r="361" spans="1:6" x14ac:dyDescent="0.25">
      <c r="A361" s="6"/>
      <c r="F361" s="12" t="str">
        <f t="shared" si="5"/>
        <v/>
      </c>
    </row>
    <row r="362" spans="1:6" x14ac:dyDescent="0.25">
      <c r="A362" s="6"/>
      <c r="F362" s="12" t="str">
        <f t="shared" si="5"/>
        <v/>
      </c>
    </row>
    <row r="363" spans="1:6" x14ac:dyDescent="0.25">
      <c r="A363" s="6"/>
      <c r="F363" s="12" t="str">
        <f t="shared" si="5"/>
        <v/>
      </c>
    </row>
    <row r="364" spans="1:6" x14ac:dyDescent="0.25">
      <c r="A364" s="6"/>
      <c r="F364" s="12" t="str">
        <f t="shared" si="5"/>
        <v/>
      </c>
    </row>
    <row r="365" spans="1:6" x14ac:dyDescent="0.25">
      <c r="A365" s="6"/>
      <c r="F365" s="12" t="str">
        <f t="shared" si="5"/>
        <v/>
      </c>
    </row>
    <row r="366" spans="1:6" x14ac:dyDescent="0.25">
      <c r="A366" s="6"/>
      <c r="F366" s="12" t="str">
        <f t="shared" si="5"/>
        <v/>
      </c>
    </row>
    <row r="367" spans="1:6" x14ac:dyDescent="0.25">
      <c r="A367" s="6"/>
      <c r="F367" s="12" t="str">
        <f t="shared" si="5"/>
        <v/>
      </c>
    </row>
    <row r="368" spans="1:6" x14ac:dyDescent="0.25">
      <c r="A368" s="6"/>
      <c r="F368" s="12" t="str">
        <f t="shared" si="5"/>
        <v/>
      </c>
    </row>
    <row r="369" spans="1:6" x14ac:dyDescent="0.25">
      <c r="A369" s="6"/>
      <c r="F369" s="12" t="str">
        <f t="shared" si="5"/>
        <v/>
      </c>
    </row>
    <row r="370" spans="1:6" x14ac:dyDescent="0.25">
      <c r="A370" s="6"/>
      <c r="F370" s="12" t="str">
        <f t="shared" si="5"/>
        <v/>
      </c>
    </row>
    <row r="371" spans="1:6" x14ac:dyDescent="0.25">
      <c r="A371" s="6"/>
      <c r="F371" s="12" t="str">
        <f t="shared" si="5"/>
        <v/>
      </c>
    </row>
    <row r="372" spans="1:6" x14ac:dyDescent="0.25">
      <c r="A372" s="6"/>
      <c r="F372" s="12" t="str">
        <f t="shared" si="5"/>
        <v/>
      </c>
    </row>
    <row r="373" spans="1:6" x14ac:dyDescent="0.25">
      <c r="A373" s="6"/>
      <c r="F373" s="12" t="str">
        <f t="shared" si="5"/>
        <v/>
      </c>
    </row>
    <row r="374" spans="1:6" x14ac:dyDescent="0.25">
      <c r="A374" s="6"/>
      <c r="F374" s="12" t="str">
        <f t="shared" si="5"/>
        <v/>
      </c>
    </row>
    <row r="375" spans="1:6" x14ac:dyDescent="0.25">
      <c r="A375" s="6"/>
      <c r="F375" s="12" t="str">
        <f t="shared" si="5"/>
        <v/>
      </c>
    </row>
    <row r="376" spans="1:6" x14ac:dyDescent="0.25">
      <c r="A376" s="6"/>
      <c r="F376" s="12" t="str">
        <f t="shared" si="5"/>
        <v/>
      </c>
    </row>
    <row r="377" spans="1:6" x14ac:dyDescent="0.25">
      <c r="A377" s="6"/>
      <c r="F377" s="12" t="str">
        <f t="shared" si="5"/>
        <v/>
      </c>
    </row>
    <row r="378" spans="1:6" x14ac:dyDescent="0.25">
      <c r="A378" s="6"/>
      <c r="F378" s="12" t="str">
        <f t="shared" si="5"/>
        <v/>
      </c>
    </row>
    <row r="379" spans="1:6" x14ac:dyDescent="0.25">
      <c r="A379" s="6"/>
      <c r="F379" s="12" t="str">
        <f t="shared" si="5"/>
        <v/>
      </c>
    </row>
    <row r="380" spans="1:6" x14ac:dyDescent="0.25">
      <c r="A380" s="6"/>
      <c r="F380" s="12" t="str">
        <f t="shared" si="5"/>
        <v/>
      </c>
    </row>
    <row r="381" spans="1:6" x14ac:dyDescent="0.25">
      <c r="A381" s="6"/>
      <c r="F381" s="12" t="str">
        <f t="shared" si="5"/>
        <v/>
      </c>
    </row>
    <row r="382" spans="1:6" x14ac:dyDescent="0.25">
      <c r="A382" s="6"/>
      <c r="F382" s="12" t="str">
        <f t="shared" si="5"/>
        <v/>
      </c>
    </row>
    <row r="383" spans="1:6" x14ac:dyDescent="0.25">
      <c r="A383" s="6"/>
      <c r="F383" s="12" t="str">
        <f t="shared" si="5"/>
        <v/>
      </c>
    </row>
    <row r="384" spans="1:6" x14ac:dyDescent="0.25">
      <c r="A384" s="6"/>
      <c r="F384" s="12" t="str">
        <f t="shared" si="5"/>
        <v/>
      </c>
    </row>
    <row r="385" spans="1:6" x14ac:dyDescent="0.25">
      <c r="A385" s="6"/>
      <c r="F385" s="12" t="str">
        <f t="shared" si="5"/>
        <v/>
      </c>
    </row>
    <row r="386" spans="1:6" x14ac:dyDescent="0.25">
      <c r="A386" s="6"/>
      <c r="F386" s="12" t="str">
        <f t="shared" si="5"/>
        <v/>
      </c>
    </row>
    <row r="387" spans="1:6" x14ac:dyDescent="0.25">
      <c r="A387" s="6"/>
      <c r="F387" s="12" t="str">
        <f t="shared" ref="F387:F450" si="6">IF((D387*E387)=0, "", D387*E387)</f>
        <v/>
      </c>
    </row>
    <row r="388" spans="1:6" x14ac:dyDescent="0.25">
      <c r="A388" s="6"/>
      <c r="F388" s="12" t="str">
        <f t="shared" si="6"/>
        <v/>
      </c>
    </row>
    <row r="389" spans="1:6" x14ac:dyDescent="0.25">
      <c r="A389" s="6"/>
      <c r="F389" s="12" t="str">
        <f t="shared" si="6"/>
        <v/>
      </c>
    </row>
    <row r="390" spans="1:6" x14ac:dyDescent="0.25">
      <c r="A390" s="6"/>
      <c r="F390" s="12" t="str">
        <f t="shared" si="6"/>
        <v/>
      </c>
    </row>
    <row r="391" spans="1:6" x14ac:dyDescent="0.25">
      <c r="A391" s="6"/>
      <c r="F391" s="12" t="str">
        <f t="shared" si="6"/>
        <v/>
      </c>
    </row>
    <row r="392" spans="1:6" x14ac:dyDescent="0.25">
      <c r="A392" s="6"/>
      <c r="F392" s="12" t="str">
        <f t="shared" si="6"/>
        <v/>
      </c>
    </row>
    <row r="393" spans="1:6" x14ac:dyDescent="0.25">
      <c r="A393" s="6"/>
      <c r="F393" s="12" t="str">
        <f t="shared" si="6"/>
        <v/>
      </c>
    </row>
    <row r="394" spans="1:6" x14ac:dyDescent="0.25">
      <c r="A394" s="6"/>
      <c r="F394" s="12" t="str">
        <f t="shared" si="6"/>
        <v/>
      </c>
    </row>
    <row r="395" spans="1:6" x14ac:dyDescent="0.25">
      <c r="A395" s="6"/>
      <c r="F395" s="12" t="str">
        <f t="shared" si="6"/>
        <v/>
      </c>
    </row>
    <row r="396" spans="1:6" x14ac:dyDescent="0.25">
      <c r="A396" s="6"/>
      <c r="F396" s="12" t="str">
        <f t="shared" si="6"/>
        <v/>
      </c>
    </row>
    <row r="397" spans="1:6" x14ac:dyDescent="0.25">
      <c r="A397" s="6"/>
      <c r="F397" s="12" t="str">
        <f t="shared" si="6"/>
        <v/>
      </c>
    </row>
    <row r="398" spans="1:6" x14ac:dyDescent="0.25">
      <c r="A398" s="6"/>
      <c r="F398" s="12" t="str">
        <f t="shared" si="6"/>
        <v/>
      </c>
    </row>
    <row r="399" spans="1:6" x14ac:dyDescent="0.25">
      <c r="A399" s="6"/>
      <c r="F399" s="12" t="str">
        <f t="shared" si="6"/>
        <v/>
      </c>
    </row>
    <row r="400" spans="1:6" x14ac:dyDescent="0.25">
      <c r="A400" s="6"/>
      <c r="F400" s="12" t="str">
        <f t="shared" si="6"/>
        <v/>
      </c>
    </row>
    <row r="401" spans="1:6" x14ac:dyDescent="0.25">
      <c r="A401" s="6"/>
      <c r="F401" s="12" t="str">
        <f t="shared" si="6"/>
        <v/>
      </c>
    </row>
    <row r="402" spans="1:6" x14ac:dyDescent="0.25">
      <c r="A402" s="6"/>
      <c r="F402" s="12" t="str">
        <f t="shared" si="6"/>
        <v/>
      </c>
    </row>
    <row r="403" spans="1:6" x14ac:dyDescent="0.25">
      <c r="A403" s="6"/>
      <c r="F403" s="12" t="str">
        <f t="shared" si="6"/>
        <v/>
      </c>
    </row>
    <row r="404" spans="1:6" x14ac:dyDescent="0.25">
      <c r="A404" s="6"/>
      <c r="F404" s="12" t="str">
        <f t="shared" si="6"/>
        <v/>
      </c>
    </row>
    <row r="405" spans="1:6" x14ac:dyDescent="0.25">
      <c r="A405" s="6"/>
      <c r="F405" s="12" t="str">
        <f t="shared" si="6"/>
        <v/>
      </c>
    </row>
    <row r="406" spans="1:6" x14ac:dyDescent="0.25">
      <c r="A406" s="6"/>
      <c r="F406" s="12" t="str">
        <f t="shared" si="6"/>
        <v/>
      </c>
    </row>
    <row r="407" spans="1:6" x14ac:dyDescent="0.25">
      <c r="A407" s="6"/>
      <c r="F407" s="12" t="str">
        <f t="shared" si="6"/>
        <v/>
      </c>
    </row>
    <row r="408" spans="1:6" x14ac:dyDescent="0.25">
      <c r="A408" s="6"/>
      <c r="F408" s="12" t="str">
        <f t="shared" si="6"/>
        <v/>
      </c>
    </row>
    <row r="409" spans="1:6" x14ac:dyDescent="0.25">
      <c r="A409" s="6"/>
      <c r="F409" s="12" t="str">
        <f t="shared" si="6"/>
        <v/>
      </c>
    </row>
    <row r="410" spans="1:6" x14ac:dyDescent="0.25">
      <c r="A410" s="6"/>
      <c r="F410" s="12" t="str">
        <f t="shared" si="6"/>
        <v/>
      </c>
    </row>
    <row r="411" spans="1:6" x14ac:dyDescent="0.25">
      <c r="A411" s="6"/>
      <c r="F411" s="12" t="str">
        <f t="shared" si="6"/>
        <v/>
      </c>
    </row>
    <row r="412" spans="1:6" x14ac:dyDescent="0.25">
      <c r="A412" s="6"/>
      <c r="F412" s="12" t="str">
        <f t="shared" si="6"/>
        <v/>
      </c>
    </row>
    <row r="413" spans="1:6" x14ac:dyDescent="0.25">
      <c r="A413" s="6"/>
      <c r="F413" s="12" t="str">
        <f t="shared" si="6"/>
        <v/>
      </c>
    </row>
    <row r="414" spans="1:6" x14ac:dyDescent="0.25">
      <c r="A414" s="6"/>
      <c r="F414" s="12" t="str">
        <f t="shared" si="6"/>
        <v/>
      </c>
    </row>
    <row r="415" spans="1:6" x14ac:dyDescent="0.25">
      <c r="A415" s="6"/>
      <c r="F415" s="12" t="str">
        <f t="shared" si="6"/>
        <v/>
      </c>
    </row>
    <row r="416" spans="1:6" x14ac:dyDescent="0.25">
      <c r="A416" s="6"/>
      <c r="F416" s="12" t="str">
        <f t="shared" si="6"/>
        <v/>
      </c>
    </row>
    <row r="417" spans="1:6" x14ac:dyDescent="0.25">
      <c r="A417" s="6"/>
      <c r="F417" s="12" t="str">
        <f t="shared" si="6"/>
        <v/>
      </c>
    </row>
    <row r="418" spans="1:6" x14ac:dyDescent="0.25">
      <c r="A418" s="6"/>
      <c r="F418" s="12" t="str">
        <f t="shared" si="6"/>
        <v/>
      </c>
    </row>
    <row r="419" spans="1:6" x14ac:dyDescent="0.25">
      <c r="A419" s="6"/>
      <c r="F419" s="12" t="str">
        <f t="shared" si="6"/>
        <v/>
      </c>
    </row>
    <row r="420" spans="1:6" x14ac:dyDescent="0.25">
      <c r="A420" s="6"/>
      <c r="F420" s="12" t="str">
        <f t="shared" si="6"/>
        <v/>
      </c>
    </row>
    <row r="421" spans="1:6" x14ac:dyDescent="0.25">
      <c r="A421" s="6"/>
      <c r="F421" s="12" t="str">
        <f t="shared" si="6"/>
        <v/>
      </c>
    </row>
    <row r="422" spans="1:6" x14ac:dyDescent="0.25">
      <c r="A422" s="6"/>
      <c r="F422" s="12" t="str">
        <f t="shared" si="6"/>
        <v/>
      </c>
    </row>
    <row r="423" spans="1:6" x14ac:dyDescent="0.25">
      <c r="A423" s="6"/>
      <c r="F423" s="12" t="str">
        <f t="shared" si="6"/>
        <v/>
      </c>
    </row>
    <row r="424" spans="1:6" x14ac:dyDescent="0.25">
      <c r="A424" s="6"/>
      <c r="F424" s="12" t="str">
        <f t="shared" si="6"/>
        <v/>
      </c>
    </row>
    <row r="425" spans="1:6" x14ac:dyDescent="0.25">
      <c r="A425" s="6"/>
      <c r="F425" s="12" t="str">
        <f t="shared" si="6"/>
        <v/>
      </c>
    </row>
    <row r="426" spans="1:6" x14ac:dyDescent="0.25">
      <c r="A426" s="6"/>
      <c r="F426" s="12" t="str">
        <f t="shared" si="6"/>
        <v/>
      </c>
    </row>
    <row r="427" spans="1:6" x14ac:dyDescent="0.25">
      <c r="A427" s="6"/>
      <c r="F427" s="12" t="str">
        <f t="shared" si="6"/>
        <v/>
      </c>
    </row>
    <row r="428" spans="1:6" x14ac:dyDescent="0.25">
      <c r="A428" s="6"/>
      <c r="F428" s="12" t="str">
        <f t="shared" si="6"/>
        <v/>
      </c>
    </row>
    <row r="429" spans="1:6" x14ac:dyDescent="0.25">
      <c r="A429" s="6"/>
      <c r="F429" s="12" t="str">
        <f t="shared" si="6"/>
        <v/>
      </c>
    </row>
    <row r="430" spans="1:6" x14ac:dyDescent="0.25">
      <c r="A430" s="6"/>
      <c r="F430" s="12" t="str">
        <f t="shared" si="6"/>
        <v/>
      </c>
    </row>
    <row r="431" spans="1:6" x14ac:dyDescent="0.25">
      <c r="A431" s="6"/>
      <c r="F431" s="12" t="str">
        <f t="shared" si="6"/>
        <v/>
      </c>
    </row>
    <row r="432" spans="1:6" x14ac:dyDescent="0.25">
      <c r="A432" s="6"/>
      <c r="F432" s="12" t="str">
        <f t="shared" si="6"/>
        <v/>
      </c>
    </row>
    <row r="433" spans="1:6" x14ac:dyDescent="0.25">
      <c r="A433" s="6"/>
      <c r="F433" s="12" t="str">
        <f t="shared" si="6"/>
        <v/>
      </c>
    </row>
    <row r="434" spans="1:6" x14ac:dyDescent="0.25">
      <c r="A434" s="6"/>
      <c r="F434" s="12" t="str">
        <f t="shared" si="6"/>
        <v/>
      </c>
    </row>
    <row r="435" spans="1:6" x14ac:dyDescent="0.25">
      <c r="A435" s="6"/>
      <c r="F435" s="12" t="str">
        <f t="shared" si="6"/>
        <v/>
      </c>
    </row>
    <row r="436" spans="1:6" x14ac:dyDescent="0.25">
      <c r="A436" s="6"/>
      <c r="F436" s="12" t="str">
        <f t="shared" si="6"/>
        <v/>
      </c>
    </row>
    <row r="437" spans="1:6" x14ac:dyDescent="0.25">
      <c r="A437" s="6"/>
      <c r="F437" s="12" t="str">
        <f t="shared" si="6"/>
        <v/>
      </c>
    </row>
    <row r="438" spans="1:6" x14ac:dyDescent="0.25">
      <c r="A438" s="6"/>
      <c r="F438" s="12" t="str">
        <f t="shared" si="6"/>
        <v/>
      </c>
    </row>
    <row r="439" spans="1:6" x14ac:dyDescent="0.25">
      <c r="A439" s="6"/>
      <c r="F439" s="12" t="str">
        <f t="shared" si="6"/>
        <v/>
      </c>
    </row>
    <row r="440" spans="1:6" x14ac:dyDescent="0.25">
      <c r="A440" s="6"/>
      <c r="F440" s="12" t="str">
        <f t="shared" si="6"/>
        <v/>
      </c>
    </row>
    <row r="441" spans="1:6" x14ac:dyDescent="0.25">
      <c r="A441" s="6"/>
      <c r="F441" s="12" t="str">
        <f t="shared" si="6"/>
        <v/>
      </c>
    </row>
    <row r="442" spans="1:6" x14ac:dyDescent="0.25">
      <c r="A442" s="6"/>
      <c r="F442" s="12" t="str">
        <f t="shared" si="6"/>
        <v/>
      </c>
    </row>
    <row r="443" spans="1:6" x14ac:dyDescent="0.25">
      <c r="A443" s="6"/>
      <c r="F443" s="12" t="str">
        <f t="shared" si="6"/>
        <v/>
      </c>
    </row>
    <row r="444" spans="1:6" x14ac:dyDescent="0.25">
      <c r="A444" s="6"/>
      <c r="F444" s="12" t="str">
        <f t="shared" si="6"/>
        <v/>
      </c>
    </row>
    <row r="445" spans="1:6" x14ac:dyDescent="0.25">
      <c r="A445" s="6"/>
      <c r="F445" s="12" t="str">
        <f t="shared" si="6"/>
        <v/>
      </c>
    </row>
    <row r="446" spans="1:6" x14ac:dyDescent="0.25">
      <c r="A446" s="6"/>
      <c r="F446" s="12" t="str">
        <f t="shared" si="6"/>
        <v/>
      </c>
    </row>
    <row r="447" spans="1:6" x14ac:dyDescent="0.25">
      <c r="A447" s="6"/>
      <c r="F447" s="12" t="str">
        <f t="shared" si="6"/>
        <v/>
      </c>
    </row>
    <row r="448" spans="1:6" x14ac:dyDescent="0.25">
      <c r="A448" s="6"/>
      <c r="F448" s="12" t="str">
        <f t="shared" si="6"/>
        <v/>
      </c>
    </row>
    <row r="449" spans="1:6" x14ac:dyDescent="0.25">
      <c r="A449" s="6"/>
      <c r="F449" s="12" t="str">
        <f t="shared" si="6"/>
        <v/>
      </c>
    </row>
    <row r="450" spans="1:6" x14ac:dyDescent="0.25">
      <c r="A450" s="6"/>
      <c r="F450" s="12" t="str">
        <f t="shared" si="6"/>
        <v/>
      </c>
    </row>
    <row r="451" spans="1:6" x14ac:dyDescent="0.25">
      <c r="A451" s="6"/>
      <c r="F451" s="12" t="str">
        <f t="shared" ref="F451:F514" si="7">IF((D451*E451)=0, "", D451*E451)</f>
        <v/>
      </c>
    </row>
    <row r="452" spans="1:6" x14ac:dyDescent="0.25">
      <c r="A452" s="6"/>
      <c r="F452" s="12" t="str">
        <f t="shared" si="7"/>
        <v/>
      </c>
    </row>
    <row r="453" spans="1:6" x14ac:dyDescent="0.25">
      <c r="A453" s="6"/>
      <c r="F453" s="12" t="str">
        <f t="shared" si="7"/>
        <v/>
      </c>
    </row>
    <row r="454" spans="1:6" x14ac:dyDescent="0.25">
      <c r="A454" s="6"/>
      <c r="F454" s="12" t="str">
        <f t="shared" si="7"/>
        <v/>
      </c>
    </row>
    <row r="455" spans="1:6" x14ac:dyDescent="0.25">
      <c r="A455" s="6"/>
      <c r="F455" s="12" t="str">
        <f t="shared" si="7"/>
        <v/>
      </c>
    </row>
    <row r="456" spans="1:6" x14ac:dyDescent="0.25">
      <c r="A456" s="6"/>
      <c r="F456" s="12" t="str">
        <f t="shared" si="7"/>
        <v/>
      </c>
    </row>
    <row r="457" spans="1:6" x14ac:dyDescent="0.25">
      <c r="A457" s="6"/>
      <c r="F457" s="12" t="str">
        <f t="shared" si="7"/>
        <v/>
      </c>
    </row>
    <row r="458" spans="1:6" x14ac:dyDescent="0.25">
      <c r="A458" s="6"/>
      <c r="F458" s="12" t="str">
        <f t="shared" si="7"/>
        <v/>
      </c>
    </row>
    <row r="459" spans="1:6" x14ac:dyDescent="0.25">
      <c r="A459" s="6"/>
      <c r="F459" s="12" t="str">
        <f t="shared" si="7"/>
        <v/>
      </c>
    </row>
    <row r="460" spans="1:6" x14ac:dyDescent="0.25">
      <c r="A460" s="6"/>
      <c r="F460" s="12" t="str">
        <f t="shared" si="7"/>
        <v/>
      </c>
    </row>
    <row r="461" spans="1:6" x14ac:dyDescent="0.25">
      <c r="A461" s="6"/>
      <c r="F461" s="12" t="str">
        <f t="shared" si="7"/>
        <v/>
      </c>
    </row>
    <row r="462" spans="1:6" x14ac:dyDescent="0.25">
      <c r="A462" s="6"/>
      <c r="F462" s="12" t="str">
        <f t="shared" si="7"/>
        <v/>
      </c>
    </row>
    <row r="463" spans="1:6" x14ac:dyDescent="0.25">
      <c r="A463" s="6"/>
      <c r="F463" s="12" t="str">
        <f t="shared" si="7"/>
        <v/>
      </c>
    </row>
    <row r="464" spans="1:6" x14ac:dyDescent="0.25">
      <c r="A464" s="6"/>
      <c r="F464" s="12" t="str">
        <f t="shared" si="7"/>
        <v/>
      </c>
    </row>
    <row r="465" spans="1:6" x14ac:dyDescent="0.25">
      <c r="A465" s="6"/>
      <c r="F465" s="12" t="str">
        <f t="shared" si="7"/>
        <v/>
      </c>
    </row>
    <row r="466" spans="1:6" x14ac:dyDescent="0.25">
      <c r="A466" s="6"/>
      <c r="F466" s="12" t="str">
        <f t="shared" si="7"/>
        <v/>
      </c>
    </row>
    <row r="467" spans="1:6" x14ac:dyDescent="0.25">
      <c r="A467" s="6"/>
      <c r="F467" s="12" t="str">
        <f t="shared" si="7"/>
        <v/>
      </c>
    </row>
    <row r="468" spans="1:6" x14ac:dyDescent="0.25">
      <c r="A468" s="6"/>
      <c r="F468" s="12" t="str">
        <f t="shared" si="7"/>
        <v/>
      </c>
    </row>
    <row r="469" spans="1:6" x14ac:dyDescent="0.25">
      <c r="A469" s="6"/>
      <c r="F469" s="12" t="str">
        <f t="shared" si="7"/>
        <v/>
      </c>
    </row>
    <row r="470" spans="1:6" x14ac:dyDescent="0.25">
      <c r="A470" s="6"/>
      <c r="F470" s="12" t="str">
        <f t="shared" si="7"/>
        <v/>
      </c>
    </row>
    <row r="471" spans="1:6" x14ac:dyDescent="0.25">
      <c r="A471" s="6"/>
      <c r="F471" s="12" t="str">
        <f t="shared" si="7"/>
        <v/>
      </c>
    </row>
    <row r="472" spans="1:6" x14ac:dyDescent="0.25">
      <c r="A472" s="6"/>
      <c r="F472" s="12" t="str">
        <f t="shared" si="7"/>
        <v/>
      </c>
    </row>
    <row r="473" spans="1:6" x14ac:dyDescent="0.25">
      <c r="A473" s="6"/>
      <c r="F473" s="12" t="str">
        <f t="shared" si="7"/>
        <v/>
      </c>
    </row>
    <row r="474" spans="1:6" x14ac:dyDescent="0.25">
      <c r="A474" s="6"/>
      <c r="F474" s="12" t="str">
        <f t="shared" si="7"/>
        <v/>
      </c>
    </row>
    <row r="475" spans="1:6" x14ac:dyDescent="0.25">
      <c r="A475" s="6"/>
      <c r="F475" s="12" t="str">
        <f t="shared" si="7"/>
        <v/>
      </c>
    </row>
    <row r="476" spans="1:6" x14ac:dyDescent="0.25">
      <c r="A476" s="6"/>
      <c r="F476" s="12" t="str">
        <f t="shared" si="7"/>
        <v/>
      </c>
    </row>
    <row r="477" spans="1:6" x14ac:dyDescent="0.25">
      <c r="A477" s="6"/>
      <c r="F477" s="12" t="str">
        <f t="shared" si="7"/>
        <v/>
      </c>
    </row>
    <row r="478" spans="1:6" x14ac:dyDescent="0.25">
      <c r="A478" s="6"/>
      <c r="F478" s="12" t="str">
        <f t="shared" si="7"/>
        <v/>
      </c>
    </row>
    <row r="479" spans="1:6" x14ac:dyDescent="0.25">
      <c r="A479" s="6"/>
      <c r="F479" s="12" t="str">
        <f t="shared" si="7"/>
        <v/>
      </c>
    </row>
    <row r="480" spans="1:6" x14ac:dyDescent="0.25">
      <c r="A480" s="6"/>
      <c r="F480" s="12" t="str">
        <f t="shared" si="7"/>
        <v/>
      </c>
    </row>
    <row r="481" spans="1:6" x14ac:dyDescent="0.25">
      <c r="A481" s="6"/>
      <c r="F481" s="12" t="str">
        <f t="shared" si="7"/>
        <v/>
      </c>
    </row>
    <row r="482" spans="1:6" x14ac:dyDescent="0.25">
      <c r="A482" s="6"/>
      <c r="F482" s="12" t="str">
        <f t="shared" si="7"/>
        <v/>
      </c>
    </row>
    <row r="483" spans="1:6" x14ac:dyDescent="0.25">
      <c r="A483" s="6"/>
      <c r="F483" s="12" t="str">
        <f t="shared" si="7"/>
        <v/>
      </c>
    </row>
    <row r="484" spans="1:6" x14ac:dyDescent="0.25">
      <c r="A484" s="6"/>
      <c r="F484" s="12" t="str">
        <f t="shared" si="7"/>
        <v/>
      </c>
    </row>
    <row r="485" spans="1:6" x14ac:dyDescent="0.25">
      <c r="A485" s="6"/>
      <c r="F485" s="12" t="str">
        <f t="shared" si="7"/>
        <v/>
      </c>
    </row>
    <row r="486" spans="1:6" x14ac:dyDescent="0.25">
      <c r="A486" s="6"/>
      <c r="F486" s="12" t="str">
        <f t="shared" si="7"/>
        <v/>
      </c>
    </row>
    <row r="487" spans="1:6" x14ac:dyDescent="0.25">
      <c r="A487" s="6"/>
      <c r="F487" s="12" t="str">
        <f t="shared" si="7"/>
        <v/>
      </c>
    </row>
    <row r="488" spans="1:6" x14ac:dyDescent="0.25">
      <c r="A488" s="6"/>
      <c r="F488" s="12" t="str">
        <f t="shared" si="7"/>
        <v/>
      </c>
    </row>
    <row r="489" spans="1:6" x14ac:dyDescent="0.25">
      <c r="A489" s="6"/>
      <c r="F489" s="12" t="str">
        <f t="shared" si="7"/>
        <v/>
      </c>
    </row>
    <row r="490" spans="1:6" x14ac:dyDescent="0.25">
      <c r="A490" s="6"/>
      <c r="F490" s="12" t="str">
        <f t="shared" si="7"/>
        <v/>
      </c>
    </row>
    <row r="491" spans="1:6" x14ac:dyDescent="0.25">
      <c r="A491" s="6"/>
      <c r="F491" s="12" t="str">
        <f t="shared" si="7"/>
        <v/>
      </c>
    </row>
    <row r="492" spans="1:6" x14ac:dyDescent="0.25">
      <c r="A492" s="6"/>
      <c r="F492" s="12" t="str">
        <f t="shared" si="7"/>
        <v/>
      </c>
    </row>
    <row r="493" spans="1:6" x14ac:dyDescent="0.25">
      <c r="A493" s="6"/>
      <c r="F493" s="12" t="str">
        <f t="shared" si="7"/>
        <v/>
      </c>
    </row>
    <row r="494" spans="1:6" x14ac:dyDescent="0.25">
      <c r="A494" s="6"/>
      <c r="F494" s="12" t="str">
        <f t="shared" si="7"/>
        <v/>
      </c>
    </row>
    <row r="495" spans="1:6" x14ac:dyDescent="0.25">
      <c r="A495" s="6"/>
      <c r="F495" s="12" t="str">
        <f t="shared" si="7"/>
        <v/>
      </c>
    </row>
    <row r="496" spans="1:6" x14ac:dyDescent="0.25">
      <c r="A496" s="6"/>
      <c r="F496" s="12" t="str">
        <f t="shared" si="7"/>
        <v/>
      </c>
    </row>
    <row r="497" spans="1:6" x14ac:dyDescent="0.25">
      <c r="A497" s="6"/>
      <c r="F497" s="12" t="str">
        <f t="shared" si="7"/>
        <v/>
      </c>
    </row>
    <row r="498" spans="1:6" x14ac:dyDescent="0.25">
      <c r="A498" s="6"/>
      <c r="F498" s="12" t="str">
        <f t="shared" si="7"/>
        <v/>
      </c>
    </row>
    <row r="499" spans="1:6" x14ac:dyDescent="0.25">
      <c r="A499" s="6"/>
      <c r="F499" s="12" t="str">
        <f t="shared" si="7"/>
        <v/>
      </c>
    </row>
    <row r="500" spans="1:6" x14ac:dyDescent="0.25">
      <c r="A500" s="6"/>
      <c r="F500" s="12" t="str">
        <f t="shared" si="7"/>
        <v/>
      </c>
    </row>
    <row r="501" spans="1:6" x14ac:dyDescent="0.25">
      <c r="A501" s="6"/>
      <c r="F501" s="12" t="str">
        <f t="shared" si="7"/>
        <v/>
      </c>
    </row>
    <row r="502" spans="1:6" x14ac:dyDescent="0.25">
      <c r="A502" s="6"/>
      <c r="F502" s="12" t="str">
        <f t="shared" si="7"/>
        <v/>
      </c>
    </row>
    <row r="503" spans="1:6" x14ac:dyDescent="0.25">
      <c r="A503" s="6"/>
      <c r="F503" s="12" t="str">
        <f t="shared" si="7"/>
        <v/>
      </c>
    </row>
    <row r="504" spans="1:6" x14ac:dyDescent="0.25">
      <c r="A504" s="6"/>
      <c r="F504" s="12" t="str">
        <f t="shared" si="7"/>
        <v/>
      </c>
    </row>
    <row r="505" spans="1:6" x14ac:dyDescent="0.25">
      <c r="A505" s="6"/>
      <c r="F505" s="12" t="str">
        <f t="shared" si="7"/>
        <v/>
      </c>
    </row>
    <row r="506" spans="1:6" x14ac:dyDescent="0.25">
      <c r="A506" s="6"/>
      <c r="F506" s="12" t="str">
        <f t="shared" si="7"/>
        <v/>
      </c>
    </row>
    <row r="507" spans="1:6" x14ac:dyDescent="0.25">
      <c r="A507" s="6"/>
      <c r="F507" s="12" t="str">
        <f t="shared" si="7"/>
        <v/>
      </c>
    </row>
    <row r="508" spans="1:6" x14ac:dyDescent="0.25">
      <c r="A508" s="6"/>
      <c r="F508" s="12" t="str">
        <f t="shared" si="7"/>
        <v/>
      </c>
    </row>
    <row r="509" spans="1:6" x14ac:dyDescent="0.25">
      <c r="A509" s="6"/>
      <c r="F509" s="12" t="str">
        <f t="shared" si="7"/>
        <v/>
      </c>
    </row>
    <row r="510" spans="1:6" x14ac:dyDescent="0.25">
      <c r="A510" s="6"/>
      <c r="F510" s="12" t="str">
        <f t="shared" si="7"/>
        <v/>
      </c>
    </row>
    <row r="511" spans="1:6" x14ac:dyDescent="0.25">
      <c r="A511" s="6"/>
      <c r="F511" s="12" t="str">
        <f t="shared" si="7"/>
        <v/>
      </c>
    </row>
    <row r="512" spans="1:6" x14ac:dyDescent="0.25">
      <c r="A512" s="6"/>
      <c r="F512" s="12" t="str">
        <f t="shared" si="7"/>
        <v/>
      </c>
    </row>
    <row r="513" spans="1:6" x14ac:dyDescent="0.25">
      <c r="A513" s="6"/>
      <c r="F513" s="12" t="str">
        <f t="shared" si="7"/>
        <v/>
      </c>
    </row>
    <row r="514" spans="1:6" x14ac:dyDescent="0.25">
      <c r="A514" s="6"/>
      <c r="F514" s="12" t="str">
        <f t="shared" si="7"/>
        <v/>
      </c>
    </row>
    <row r="515" spans="1:6" x14ac:dyDescent="0.25">
      <c r="A515" s="6"/>
      <c r="F515" s="12" t="str">
        <f t="shared" ref="F515:F578" si="8">IF((D515*E515)=0, "", D515*E515)</f>
        <v/>
      </c>
    </row>
    <row r="516" spans="1:6" x14ac:dyDescent="0.25">
      <c r="A516" s="6"/>
      <c r="F516" s="12" t="str">
        <f t="shared" si="8"/>
        <v/>
      </c>
    </row>
    <row r="517" spans="1:6" x14ac:dyDescent="0.25">
      <c r="A517" s="6"/>
      <c r="F517" s="12" t="str">
        <f t="shared" si="8"/>
        <v/>
      </c>
    </row>
    <row r="518" spans="1:6" x14ac:dyDescent="0.25">
      <c r="A518" s="6"/>
      <c r="F518" s="12" t="str">
        <f t="shared" si="8"/>
        <v/>
      </c>
    </row>
    <row r="519" spans="1:6" x14ac:dyDescent="0.25">
      <c r="A519" s="6"/>
      <c r="F519" s="12" t="str">
        <f t="shared" si="8"/>
        <v/>
      </c>
    </row>
    <row r="520" spans="1:6" x14ac:dyDescent="0.25">
      <c r="A520" s="6"/>
      <c r="F520" s="12" t="str">
        <f t="shared" si="8"/>
        <v/>
      </c>
    </row>
    <row r="521" spans="1:6" x14ac:dyDescent="0.25">
      <c r="A521" s="6"/>
      <c r="F521" s="12" t="str">
        <f t="shared" si="8"/>
        <v/>
      </c>
    </row>
    <row r="522" spans="1:6" x14ac:dyDescent="0.25">
      <c r="A522" s="6"/>
      <c r="F522" s="12" t="str">
        <f t="shared" si="8"/>
        <v/>
      </c>
    </row>
    <row r="523" spans="1:6" x14ac:dyDescent="0.25">
      <c r="A523" s="6"/>
      <c r="F523" s="12" t="str">
        <f t="shared" si="8"/>
        <v/>
      </c>
    </row>
    <row r="524" spans="1:6" x14ac:dyDescent="0.25">
      <c r="A524" s="6"/>
      <c r="F524" s="12" t="str">
        <f t="shared" si="8"/>
        <v/>
      </c>
    </row>
    <row r="525" spans="1:6" x14ac:dyDescent="0.25">
      <c r="A525" s="6"/>
      <c r="F525" s="12" t="str">
        <f t="shared" si="8"/>
        <v/>
      </c>
    </row>
    <row r="526" spans="1:6" x14ac:dyDescent="0.25">
      <c r="A526" s="6"/>
      <c r="F526" s="12" t="str">
        <f t="shared" si="8"/>
        <v/>
      </c>
    </row>
    <row r="527" spans="1:6" x14ac:dyDescent="0.25">
      <c r="A527" s="6"/>
      <c r="F527" s="12" t="str">
        <f t="shared" si="8"/>
        <v/>
      </c>
    </row>
    <row r="528" spans="1:6" x14ac:dyDescent="0.25">
      <c r="A528" s="6"/>
      <c r="F528" s="12" t="str">
        <f t="shared" si="8"/>
        <v/>
      </c>
    </row>
    <row r="529" spans="1:6" x14ac:dyDescent="0.25">
      <c r="A529" s="6"/>
      <c r="F529" s="12" t="str">
        <f t="shared" si="8"/>
        <v/>
      </c>
    </row>
    <row r="530" spans="1:6" x14ac:dyDescent="0.25">
      <c r="A530" s="6"/>
      <c r="F530" s="12" t="str">
        <f t="shared" si="8"/>
        <v/>
      </c>
    </row>
    <row r="531" spans="1:6" x14ac:dyDescent="0.25">
      <c r="A531" s="6"/>
      <c r="F531" s="12" t="str">
        <f t="shared" si="8"/>
        <v/>
      </c>
    </row>
    <row r="532" spans="1:6" x14ac:dyDescent="0.25">
      <c r="A532" s="6"/>
      <c r="F532" s="12" t="str">
        <f t="shared" si="8"/>
        <v/>
      </c>
    </row>
    <row r="533" spans="1:6" x14ac:dyDescent="0.25">
      <c r="A533" s="6"/>
      <c r="F533" s="12" t="str">
        <f t="shared" si="8"/>
        <v/>
      </c>
    </row>
    <row r="534" spans="1:6" x14ac:dyDescent="0.25">
      <c r="A534" s="6"/>
      <c r="F534" s="12" t="str">
        <f t="shared" si="8"/>
        <v/>
      </c>
    </row>
    <row r="535" spans="1:6" x14ac:dyDescent="0.25">
      <c r="A535" s="6"/>
      <c r="F535" s="12" t="str">
        <f t="shared" si="8"/>
        <v/>
      </c>
    </row>
    <row r="536" spans="1:6" x14ac:dyDescent="0.25">
      <c r="A536" s="6"/>
      <c r="F536" s="12" t="str">
        <f t="shared" si="8"/>
        <v/>
      </c>
    </row>
    <row r="537" spans="1:6" x14ac:dyDescent="0.25">
      <c r="A537" s="6"/>
      <c r="F537" s="12" t="str">
        <f t="shared" si="8"/>
        <v/>
      </c>
    </row>
    <row r="538" spans="1:6" x14ac:dyDescent="0.25">
      <c r="A538" s="6"/>
      <c r="F538" s="12" t="str">
        <f t="shared" si="8"/>
        <v/>
      </c>
    </row>
    <row r="539" spans="1:6" x14ac:dyDescent="0.25">
      <c r="A539" s="6"/>
      <c r="F539" s="12" t="str">
        <f t="shared" si="8"/>
        <v/>
      </c>
    </row>
    <row r="540" spans="1:6" x14ac:dyDescent="0.25">
      <c r="A540" s="6"/>
      <c r="F540" s="12" t="str">
        <f t="shared" si="8"/>
        <v/>
      </c>
    </row>
    <row r="541" spans="1:6" x14ac:dyDescent="0.25">
      <c r="A541" s="6"/>
      <c r="F541" s="12" t="str">
        <f t="shared" si="8"/>
        <v/>
      </c>
    </row>
    <row r="542" spans="1:6" x14ac:dyDescent="0.25">
      <c r="A542" s="6"/>
      <c r="F542" s="12" t="str">
        <f t="shared" si="8"/>
        <v/>
      </c>
    </row>
    <row r="543" spans="1:6" x14ac:dyDescent="0.25">
      <c r="A543" s="6"/>
      <c r="F543" s="12" t="str">
        <f t="shared" si="8"/>
        <v/>
      </c>
    </row>
    <row r="544" spans="1:6" x14ac:dyDescent="0.25">
      <c r="A544" s="6"/>
      <c r="F544" s="12" t="str">
        <f t="shared" si="8"/>
        <v/>
      </c>
    </row>
    <row r="545" spans="1:6" x14ac:dyDescent="0.25">
      <c r="A545" s="6"/>
      <c r="F545" s="12" t="str">
        <f t="shared" si="8"/>
        <v/>
      </c>
    </row>
    <row r="546" spans="1:6" x14ac:dyDescent="0.25">
      <c r="A546" s="6"/>
      <c r="F546" s="12" t="str">
        <f t="shared" si="8"/>
        <v/>
      </c>
    </row>
    <row r="547" spans="1:6" x14ac:dyDescent="0.25">
      <c r="A547" s="6"/>
      <c r="F547" s="12" t="str">
        <f t="shared" si="8"/>
        <v/>
      </c>
    </row>
    <row r="548" spans="1:6" x14ac:dyDescent="0.25">
      <c r="A548" s="6"/>
      <c r="F548" s="12" t="str">
        <f t="shared" si="8"/>
        <v/>
      </c>
    </row>
    <row r="549" spans="1:6" x14ac:dyDescent="0.25">
      <c r="A549" s="6"/>
      <c r="F549" s="12" t="str">
        <f t="shared" si="8"/>
        <v/>
      </c>
    </row>
    <row r="550" spans="1:6" x14ac:dyDescent="0.25">
      <c r="A550" s="6"/>
      <c r="F550" s="12" t="str">
        <f t="shared" si="8"/>
        <v/>
      </c>
    </row>
    <row r="551" spans="1:6" x14ac:dyDescent="0.25">
      <c r="A551" s="6"/>
      <c r="F551" s="12" t="str">
        <f t="shared" si="8"/>
        <v/>
      </c>
    </row>
    <row r="552" spans="1:6" x14ac:dyDescent="0.25">
      <c r="A552" s="6"/>
      <c r="F552" s="12" t="str">
        <f t="shared" si="8"/>
        <v/>
      </c>
    </row>
    <row r="553" spans="1:6" x14ac:dyDescent="0.25">
      <c r="A553" s="6"/>
      <c r="F553" s="12" t="str">
        <f t="shared" si="8"/>
        <v/>
      </c>
    </row>
    <row r="554" spans="1:6" x14ac:dyDescent="0.25">
      <c r="A554" s="6"/>
      <c r="F554" s="12" t="str">
        <f t="shared" si="8"/>
        <v/>
      </c>
    </row>
    <row r="555" spans="1:6" x14ac:dyDescent="0.25">
      <c r="A555" s="6"/>
      <c r="F555" s="12" t="str">
        <f t="shared" si="8"/>
        <v/>
      </c>
    </row>
    <row r="556" spans="1:6" x14ac:dyDescent="0.25">
      <c r="A556" s="6"/>
      <c r="F556" s="12" t="str">
        <f t="shared" si="8"/>
        <v/>
      </c>
    </row>
    <row r="557" spans="1:6" x14ac:dyDescent="0.25">
      <c r="A557" s="6"/>
      <c r="F557" s="12" t="str">
        <f t="shared" si="8"/>
        <v/>
      </c>
    </row>
    <row r="558" spans="1:6" x14ac:dyDescent="0.25">
      <c r="A558" s="6"/>
      <c r="F558" s="12" t="str">
        <f t="shared" si="8"/>
        <v/>
      </c>
    </row>
    <row r="559" spans="1:6" x14ac:dyDescent="0.25">
      <c r="A559" s="6"/>
      <c r="F559" s="12" t="str">
        <f t="shared" si="8"/>
        <v/>
      </c>
    </row>
    <row r="560" spans="1:6" x14ac:dyDescent="0.25">
      <c r="A560" s="6"/>
      <c r="F560" s="12" t="str">
        <f t="shared" si="8"/>
        <v/>
      </c>
    </row>
    <row r="561" spans="1:6" x14ac:dyDescent="0.25">
      <c r="A561" s="6"/>
      <c r="F561" s="12" t="str">
        <f t="shared" si="8"/>
        <v/>
      </c>
    </row>
    <row r="562" spans="1:6" x14ac:dyDescent="0.25">
      <c r="A562" s="6"/>
      <c r="F562" s="12" t="str">
        <f t="shared" si="8"/>
        <v/>
      </c>
    </row>
    <row r="563" spans="1:6" x14ac:dyDescent="0.25">
      <c r="A563" s="6"/>
      <c r="F563" s="12" t="str">
        <f t="shared" si="8"/>
        <v/>
      </c>
    </row>
    <row r="564" spans="1:6" x14ac:dyDescent="0.25">
      <c r="A564" s="6"/>
      <c r="F564" s="12" t="str">
        <f t="shared" si="8"/>
        <v/>
      </c>
    </row>
    <row r="565" spans="1:6" x14ac:dyDescent="0.25">
      <c r="A565" s="6"/>
      <c r="F565" s="12" t="str">
        <f t="shared" si="8"/>
        <v/>
      </c>
    </row>
    <row r="566" spans="1:6" x14ac:dyDescent="0.25">
      <c r="A566" s="6"/>
      <c r="F566" s="12" t="str">
        <f t="shared" si="8"/>
        <v/>
      </c>
    </row>
    <row r="567" spans="1:6" x14ac:dyDescent="0.25">
      <c r="A567" s="6"/>
      <c r="F567" s="12" t="str">
        <f t="shared" si="8"/>
        <v/>
      </c>
    </row>
    <row r="568" spans="1:6" x14ac:dyDescent="0.25">
      <c r="A568" s="6"/>
      <c r="F568" s="12" t="str">
        <f t="shared" si="8"/>
        <v/>
      </c>
    </row>
    <row r="569" spans="1:6" x14ac:dyDescent="0.25">
      <c r="A569" s="6"/>
      <c r="F569" s="12" t="str">
        <f t="shared" si="8"/>
        <v/>
      </c>
    </row>
    <row r="570" spans="1:6" x14ac:dyDescent="0.25">
      <c r="A570" s="6"/>
      <c r="F570" s="12" t="str">
        <f t="shared" si="8"/>
        <v/>
      </c>
    </row>
    <row r="571" spans="1:6" x14ac:dyDescent="0.25">
      <c r="A571" s="6"/>
      <c r="F571" s="12" t="str">
        <f t="shared" si="8"/>
        <v/>
      </c>
    </row>
    <row r="572" spans="1:6" x14ac:dyDescent="0.25">
      <c r="A572" s="6"/>
      <c r="F572" s="12" t="str">
        <f t="shared" si="8"/>
        <v/>
      </c>
    </row>
    <row r="573" spans="1:6" x14ac:dyDescent="0.25">
      <c r="A573" s="6"/>
      <c r="F573" s="12" t="str">
        <f t="shared" si="8"/>
        <v/>
      </c>
    </row>
    <row r="574" spans="1:6" x14ac:dyDescent="0.25">
      <c r="A574" s="6"/>
      <c r="F574" s="12" t="str">
        <f t="shared" si="8"/>
        <v/>
      </c>
    </row>
    <row r="575" spans="1:6" x14ac:dyDescent="0.25">
      <c r="A575" s="6"/>
      <c r="F575" s="12" t="str">
        <f t="shared" si="8"/>
        <v/>
      </c>
    </row>
    <row r="576" spans="1:6" x14ac:dyDescent="0.25">
      <c r="A576" s="6"/>
      <c r="F576" s="12" t="str">
        <f t="shared" si="8"/>
        <v/>
      </c>
    </row>
    <row r="577" spans="1:6" x14ac:dyDescent="0.25">
      <c r="A577" s="6"/>
      <c r="F577" s="12" t="str">
        <f t="shared" si="8"/>
        <v/>
      </c>
    </row>
    <row r="578" spans="1:6" x14ac:dyDescent="0.25">
      <c r="A578" s="6"/>
      <c r="F578" s="12" t="str">
        <f t="shared" si="8"/>
        <v/>
      </c>
    </row>
    <row r="579" spans="1:6" x14ac:dyDescent="0.25">
      <c r="A579" s="6"/>
      <c r="F579" s="12" t="str">
        <f t="shared" ref="F579:F642" si="9">IF((D579*E579)=0, "", D579*E579)</f>
        <v/>
      </c>
    </row>
    <row r="580" spans="1:6" x14ac:dyDescent="0.25">
      <c r="A580" s="6"/>
      <c r="F580" s="12" t="str">
        <f t="shared" si="9"/>
        <v/>
      </c>
    </row>
    <row r="581" spans="1:6" x14ac:dyDescent="0.25">
      <c r="A581" s="6"/>
      <c r="F581" s="12" t="str">
        <f t="shared" si="9"/>
        <v/>
      </c>
    </row>
    <row r="582" spans="1:6" x14ac:dyDescent="0.25">
      <c r="A582" s="6"/>
      <c r="F582" s="12" t="str">
        <f t="shared" si="9"/>
        <v/>
      </c>
    </row>
    <row r="583" spans="1:6" x14ac:dyDescent="0.25">
      <c r="A583" s="6"/>
      <c r="F583" s="12" t="str">
        <f t="shared" si="9"/>
        <v/>
      </c>
    </row>
    <row r="584" spans="1:6" x14ac:dyDescent="0.25">
      <c r="A584" s="6"/>
      <c r="F584" s="12" t="str">
        <f t="shared" si="9"/>
        <v/>
      </c>
    </row>
    <row r="585" spans="1:6" x14ac:dyDescent="0.25">
      <c r="A585" s="6"/>
      <c r="F585" s="12" t="str">
        <f t="shared" si="9"/>
        <v/>
      </c>
    </row>
    <row r="586" spans="1:6" x14ac:dyDescent="0.25">
      <c r="A586" s="6"/>
      <c r="F586" s="12" t="str">
        <f t="shared" si="9"/>
        <v/>
      </c>
    </row>
    <row r="587" spans="1:6" x14ac:dyDescent="0.25">
      <c r="A587" s="6"/>
      <c r="F587" s="12" t="str">
        <f t="shared" si="9"/>
        <v/>
      </c>
    </row>
    <row r="588" spans="1:6" x14ac:dyDescent="0.25">
      <c r="A588" s="6"/>
      <c r="F588" s="12" t="str">
        <f t="shared" si="9"/>
        <v/>
      </c>
    </row>
    <row r="589" spans="1:6" x14ac:dyDescent="0.25">
      <c r="A589" s="6"/>
      <c r="F589" s="12" t="str">
        <f t="shared" si="9"/>
        <v/>
      </c>
    </row>
    <row r="590" spans="1:6" x14ac:dyDescent="0.25">
      <c r="A590" s="6"/>
      <c r="F590" s="12" t="str">
        <f t="shared" si="9"/>
        <v/>
      </c>
    </row>
    <row r="591" spans="1:6" x14ac:dyDescent="0.25">
      <c r="A591" s="6"/>
      <c r="F591" s="12" t="str">
        <f t="shared" si="9"/>
        <v/>
      </c>
    </row>
    <row r="592" spans="1:6" x14ac:dyDescent="0.25">
      <c r="A592" s="6"/>
      <c r="F592" s="12" t="str">
        <f t="shared" si="9"/>
        <v/>
      </c>
    </row>
    <row r="593" spans="1:6" x14ac:dyDescent="0.25">
      <c r="A593" s="6"/>
      <c r="F593" s="12" t="str">
        <f t="shared" si="9"/>
        <v/>
      </c>
    </row>
    <row r="594" spans="1:6" x14ac:dyDescent="0.25">
      <c r="A594" s="6"/>
      <c r="F594" s="12" t="str">
        <f t="shared" si="9"/>
        <v/>
      </c>
    </row>
    <row r="595" spans="1:6" x14ac:dyDescent="0.25">
      <c r="A595" s="6"/>
      <c r="F595" s="12" t="str">
        <f t="shared" si="9"/>
        <v/>
      </c>
    </row>
    <row r="596" spans="1:6" x14ac:dyDescent="0.25">
      <c r="A596" s="6"/>
      <c r="F596" s="12" t="str">
        <f t="shared" si="9"/>
        <v/>
      </c>
    </row>
    <row r="597" spans="1:6" x14ac:dyDescent="0.25">
      <c r="A597" s="6"/>
      <c r="F597" s="12" t="str">
        <f t="shared" si="9"/>
        <v/>
      </c>
    </row>
    <row r="598" spans="1:6" x14ac:dyDescent="0.25">
      <c r="A598" s="6"/>
      <c r="F598" s="12" t="str">
        <f t="shared" si="9"/>
        <v/>
      </c>
    </row>
    <row r="599" spans="1:6" x14ac:dyDescent="0.25">
      <c r="A599" s="6"/>
      <c r="F599" s="12" t="str">
        <f t="shared" si="9"/>
        <v/>
      </c>
    </row>
    <row r="600" spans="1:6" x14ac:dyDescent="0.25">
      <c r="A600" s="6"/>
      <c r="F600" s="12" t="str">
        <f t="shared" si="9"/>
        <v/>
      </c>
    </row>
    <row r="601" spans="1:6" x14ac:dyDescent="0.25">
      <c r="A601" s="6"/>
      <c r="F601" s="12" t="str">
        <f t="shared" si="9"/>
        <v/>
      </c>
    </row>
    <row r="602" spans="1:6" x14ac:dyDescent="0.25">
      <c r="A602" s="6"/>
      <c r="F602" s="12" t="str">
        <f t="shared" si="9"/>
        <v/>
      </c>
    </row>
    <row r="603" spans="1:6" x14ac:dyDescent="0.25">
      <c r="A603" s="6"/>
      <c r="F603" s="12" t="str">
        <f t="shared" si="9"/>
        <v/>
      </c>
    </row>
    <row r="604" spans="1:6" x14ac:dyDescent="0.25">
      <c r="A604" s="6"/>
      <c r="F604" s="12" t="str">
        <f t="shared" si="9"/>
        <v/>
      </c>
    </row>
    <row r="605" spans="1:6" x14ac:dyDescent="0.25">
      <c r="A605" s="6"/>
      <c r="F605" s="12" t="str">
        <f t="shared" si="9"/>
        <v/>
      </c>
    </row>
    <row r="606" spans="1:6" x14ac:dyDescent="0.25">
      <c r="A606" s="6"/>
      <c r="F606" s="12" t="str">
        <f t="shared" si="9"/>
        <v/>
      </c>
    </row>
    <row r="607" spans="1:6" x14ac:dyDescent="0.25">
      <c r="A607" s="6"/>
      <c r="F607" s="12" t="str">
        <f t="shared" si="9"/>
        <v/>
      </c>
    </row>
    <row r="608" spans="1:6" x14ac:dyDescent="0.25">
      <c r="A608" s="6"/>
      <c r="F608" s="12" t="str">
        <f t="shared" si="9"/>
        <v/>
      </c>
    </row>
    <row r="609" spans="1:6" x14ac:dyDescent="0.25">
      <c r="A609" s="6"/>
      <c r="F609" s="12" t="str">
        <f t="shared" si="9"/>
        <v/>
      </c>
    </row>
    <row r="610" spans="1:6" x14ac:dyDescent="0.25">
      <c r="A610" s="6"/>
      <c r="F610" s="12" t="str">
        <f t="shared" si="9"/>
        <v/>
      </c>
    </row>
    <row r="611" spans="1:6" x14ac:dyDescent="0.25">
      <c r="A611" s="6"/>
      <c r="F611" s="12" t="str">
        <f t="shared" si="9"/>
        <v/>
      </c>
    </row>
    <row r="612" spans="1:6" x14ac:dyDescent="0.25">
      <c r="A612" s="6"/>
      <c r="F612" s="12" t="str">
        <f t="shared" si="9"/>
        <v/>
      </c>
    </row>
    <row r="613" spans="1:6" x14ac:dyDescent="0.25">
      <c r="A613" s="6"/>
      <c r="F613" s="12" t="str">
        <f t="shared" si="9"/>
        <v/>
      </c>
    </row>
    <row r="614" spans="1:6" x14ac:dyDescent="0.25">
      <c r="A614" s="6"/>
      <c r="F614" s="12" t="str">
        <f t="shared" si="9"/>
        <v/>
      </c>
    </row>
    <row r="615" spans="1:6" x14ac:dyDescent="0.25">
      <c r="A615" s="6"/>
      <c r="F615" s="12" t="str">
        <f t="shared" si="9"/>
        <v/>
      </c>
    </row>
    <row r="616" spans="1:6" x14ac:dyDescent="0.25">
      <c r="A616" s="6"/>
      <c r="F616" s="12" t="str">
        <f t="shared" si="9"/>
        <v/>
      </c>
    </row>
    <row r="617" spans="1:6" x14ac:dyDescent="0.25">
      <c r="A617" s="6"/>
      <c r="F617" s="12" t="str">
        <f t="shared" si="9"/>
        <v/>
      </c>
    </row>
    <row r="618" spans="1:6" x14ac:dyDescent="0.25">
      <c r="A618" s="6"/>
      <c r="F618" s="12" t="str">
        <f t="shared" si="9"/>
        <v/>
      </c>
    </row>
    <row r="619" spans="1:6" x14ac:dyDescent="0.25">
      <c r="A619" s="6"/>
      <c r="F619" s="12" t="str">
        <f t="shared" si="9"/>
        <v/>
      </c>
    </row>
    <row r="620" spans="1:6" x14ac:dyDescent="0.25">
      <c r="A620" s="6"/>
      <c r="F620" s="12" t="str">
        <f t="shared" si="9"/>
        <v/>
      </c>
    </row>
    <row r="621" spans="1:6" x14ac:dyDescent="0.25">
      <c r="A621" s="6"/>
      <c r="F621" s="12" t="str">
        <f t="shared" si="9"/>
        <v/>
      </c>
    </row>
    <row r="622" spans="1:6" x14ac:dyDescent="0.25">
      <c r="A622" s="6"/>
      <c r="F622" s="12" t="str">
        <f t="shared" si="9"/>
        <v/>
      </c>
    </row>
    <row r="623" spans="1:6" x14ac:dyDescent="0.25">
      <c r="A623" s="6"/>
      <c r="F623" s="12" t="str">
        <f t="shared" si="9"/>
        <v/>
      </c>
    </row>
    <row r="624" spans="1:6" x14ac:dyDescent="0.25">
      <c r="A624" s="6"/>
      <c r="F624" s="12" t="str">
        <f t="shared" si="9"/>
        <v/>
      </c>
    </row>
    <row r="625" spans="1:6" x14ac:dyDescent="0.25">
      <c r="A625" s="6"/>
      <c r="F625" s="12" t="str">
        <f t="shared" si="9"/>
        <v/>
      </c>
    </row>
    <row r="626" spans="1:6" x14ac:dyDescent="0.25">
      <c r="A626" s="6"/>
      <c r="F626" s="12" t="str">
        <f t="shared" si="9"/>
        <v/>
      </c>
    </row>
    <row r="627" spans="1:6" x14ac:dyDescent="0.25">
      <c r="A627" s="6"/>
      <c r="F627" s="12" t="str">
        <f t="shared" si="9"/>
        <v/>
      </c>
    </row>
    <row r="628" spans="1:6" x14ac:dyDescent="0.25">
      <c r="A628" s="6"/>
      <c r="F628" s="12" t="str">
        <f t="shared" si="9"/>
        <v/>
      </c>
    </row>
    <row r="629" spans="1:6" x14ac:dyDescent="0.25">
      <c r="A629" s="6"/>
      <c r="F629" s="12" t="str">
        <f t="shared" si="9"/>
        <v/>
      </c>
    </row>
    <row r="630" spans="1:6" x14ac:dyDescent="0.25">
      <c r="A630" s="6"/>
      <c r="F630" s="12" t="str">
        <f t="shared" si="9"/>
        <v/>
      </c>
    </row>
    <row r="631" spans="1:6" x14ac:dyDescent="0.25">
      <c r="A631" s="6"/>
      <c r="F631" s="12" t="str">
        <f t="shared" si="9"/>
        <v/>
      </c>
    </row>
    <row r="632" spans="1:6" x14ac:dyDescent="0.25">
      <c r="A632" s="6"/>
      <c r="F632" s="12" t="str">
        <f t="shared" si="9"/>
        <v/>
      </c>
    </row>
    <row r="633" spans="1:6" x14ac:dyDescent="0.25">
      <c r="A633" s="6"/>
      <c r="F633" s="12" t="str">
        <f t="shared" si="9"/>
        <v/>
      </c>
    </row>
    <row r="634" spans="1:6" x14ac:dyDescent="0.25">
      <c r="A634" s="6"/>
      <c r="F634" s="12" t="str">
        <f t="shared" si="9"/>
        <v/>
      </c>
    </row>
    <row r="635" spans="1:6" x14ac:dyDescent="0.25">
      <c r="A635" s="6"/>
      <c r="F635" s="12" t="str">
        <f t="shared" si="9"/>
        <v/>
      </c>
    </row>
    <row r="636" spans="1:6" x14ac:dyDescent="0.25">
      <c r="A636" s="6"/>
      <c r="F636" s="12" t="str">
        <f t="shared" si="9"/>
        <v/>
      </c>
    </row>
    <row r="637" spans="1:6" x14ac:dyDescent="0.25">
      <c r="A637" s="6"/>
      <c r="F637" s="12" t="str">
        <f t="shared" si="9"/>
        <v/>
      </c>
    </row>
    <row r="638" spans="1:6" x14ac:dyDescent="0.25">
      <c r="A638" s="6"/>
      <c r="F638" s="12" t="str">
        <f t="shared" si="9"/>
        <v/>
      </c>
    </row>
    <row r="639" spans="1:6" x14ac:dyDescent="0.25">
      <c r="A639" s="6"/>
      <c r="F639" s="12" t="str">
        <f t="shared" si="9"/>
        <v/>
      </c>
    </row>
    <row r="640" spans="1:6" x14ac:dyDescent="0.25">
      <c r="A640" s="6"/>
      <c r="F640" s="12" t="str">
        <f t="shared" si="9"/>
        <v/>
      </c>
    </row>
    <row r="641" spans="1:6" x14ac:dyDescent="0.25">
      <c r="A641" s="6"/>
      <c r="F641" s="12" t="str">
        <f t="shared" si="9"/>
        <v/>
      </c>
    </row>
    <row r="642" spans="1:6" x14ac:dyDescent="0.25">
      <c r="A642" s="6"/>
      <c r="F642" s="12" t="str">
        <f t="shared" si="9"/>
        <v/>
      </c>
    </row>
    <row r="643" spans="1:6" x14ac:dyDescent="0.25">
      <c r="A643" s="6"/>
      <c r="F643" s="12" t="str">
        <f t="shared" ref="F643:F706" si="10">IF((D643*E643)=0, "", D643*E643)</f>
        <v/>
      </c>
    </row>
    <row r="644" spans="1:6" x14ac:dyDescent="0.25">
      <c r="A644" s="6"/>
      <c r="F644" s="12" t="str">
        <f t="shared" si="10"/>
        <v/>
      </c>
    </row>
    <row r="645" spans="1:6" x14ac:dyDescent="0.25">
      <c r="A645" s="6"/>
      <c r="F645" s="12" t="str">
        <f t="shared" si="10"/>
        <v/>
      </c>
    </row>
    <row r="646" spans="1:6" x14ac:dyDescent="0.25">
      <c r="A646" s="6"/>
      <c r="F646" s="12" t="str">
        <f t="shared" si="10"/>
        <v/>
      </c>
    </row>
    <row r="647" spans="1:6" x14ac:dyDescent="0.25">
      <c r="A647" s="6"/>
      <c r="F647" s="12" t="str">
        <f t="shared" si="10"/>
        <v/>
      </c>
    </row>
    <row r="648" spans="1:6" x14ac:dyDescent="0.25">
      <c r="A648" s="6"/>
      <c r="F648" s="12" t="str">
        <f t="shared" si="10"/>
        <v/>
      </c>
    </row>
    <row r="649" spans="1:6" x14ac:dyDescent="0.25">
      <c r="A649" s="6"/>
      <c r="F649" s="12" t="str">
        <f t="shared" si="10"/>
        <v/>
      </c>
    </row>
    <row r="650" spans="1:6" x14ac:dyDescent="0.25">
      <c r="A650" s="6"/>
      <c r="F650" s="12" t="str">
        <f t="shared" si="10"/>
        <v/>
      </c>
    </row>
    <row r="651" spans="1:6" x14ac:dyDescent="0.25">
      <c r="A651" s="6"/>
      <c r="F651" s="12" t="str">
        <f t="shared" si="10"/>
        <v/>
      </c>
    </row>
    <row r="652" spans="1:6" x14ac:dyDescent="0.25">
      <c r="A652" s="6"/>
      <c r="F652" s="12" t="str">
        <f t="shared" si="10"/>
        <v/>
      </c>
    </row>
    <row r="653" spans="1:6" x14ac:dyDescent="0.25">
      <c r="A653" s="6"/>
      <c r="F653" s="12" t="str">
        <f t="shared" si="10"/>
        <v/>
      </c>
    </row>
    <row r="654" spans="1:6" x14ac:dyDescent="0.25">
      <c r="A654" s="6"/>
      <c r="F654" s="12" t="str">
        <f t="shared" si="10"/>
        <v/>
      </c>
    </row>
    <row r="655" spans="1:6" x14ac:dyDescent="0.25">
      <c r="A655" s="6"/>
      <c r="F655" s="12" t="str">
        <f t="shared" si="10"/>
        <v/>
      </c>
    </row>
    <row r="656" spans="1:6" x14ac:dyDescent="0.25">
      <c r="A656" s="6"/>
      <c r="F656" s="12" t="str">
        <f t="shared" si="10"/>
        <v/>
      </c>
    </row>
    <row r="657" spans="1:6" x14ac:dyDescent="0.25">
      <c r="A657" s="6"/>
      <c r="F657" s="12" t="str">
        <f t="shared" si="10"/>
        <v/>
      </c>
    </row>
    <row r="658" spans="1:6" x14ac:dyDescent="0.25">
      <c r="A658" s="6"/>
      <c r="F658" s="12" t="str">
        <f t="shared" si="10"/>
        <v/>
      </c>
    </row>
    <row r="659" spans="1:6" x14ac:dyDescent="0.25">
      <c r="A659" s="6"/>
      <c r="F659" s="12" t="str">
        <f t="shared" si="10"/>
        <v/>
      </c>
    </row>
    <row r="660" spans="1:6" x14ac:dyDescent="0.25">
      <c r="A660" s="6"/>
      <c r="F660" s="12" t="str">
        <f t="shared" si="10"/>
        <v/>
      </c>
    </row>
    <row r="661" spans="1:6" x14ac:dyDescent="0.25">
      <c r="A661" s="6"/>
      <c r="F661" s="12" t="str">
        <f t="shared" si="10"/>
        <v/>
      </c>
    </row>
    <row r="662" spans="1:6" x14ac:dyDescent="0.25">
      <c r="A662" s="6"/>
      <c r="F662" s="12" t="str">
        <f t="shared" si="10"/>
        <v/>
      </c>
    </row>
    <row r="663" spans="1:6" x14ac:dyDescent="0.25">
      <c r="A663" s="6"/>
      <c r="F663" s="12" t="str">
        <f t="shared" si="10"/>
        <v/>
      </c>
    </row>
    <row r="664" spans="1:6" x14ac:dyDescent="0.25">
      <c r="A664" s="6"/>
      <c r="F664" s="12" t="str">
        <f t="shared" si="10"/>
        <v/>
      </c>
    </row>
    <row r="665" spans="1:6" x14ac:dyDescent="0.25">
      <c r="A665" s="6"/>
      <c r="F665" s="12" t="str">
        <f t="shared" si="10"/>
        <v/>
      </c>
    </row>
    <row r="666" spans="1:6" x14ac:dyDescent="0.25">
      <c r="A666" s="6"/>
      <c r="F666" s="12" t="str">
        <f t="shared" si="10"/>
        <v/>
      </c>
    </row>
    <row r="667" spans="1:6" x14ac:dyDescent="0.25">
      <c r="A667" s="6"/>
      <c r="F667" s="12" t="str">
        <f t="shared" si="10"/>
        <v/>
      </c>
    </row>
    <row r="668" spans="1:6" x14ac:dyDescent="0.25">
      <c r="A668" s="6"/>
      <c r="F668" s="12" t="str">
        <f t="shared" si="10"/>
        <v/>
      </c>
    </row>
    <row r="669" spans="1:6" x14ac:dyDescent="0.25">
      <c r="A669" s="6"/>
      <c r="F669" s="12" t="str">
        <f t="shared" si="10"/>
        <v/>
      </c>
    </row>
    <row r="670" spans="1:6" x14ac:dyDescent="0.25">
      <c r="A670" s="6"/>
      <c r="F670" s="12" t="str">
        <f t="shared" si="10"/>
        <v/>
      </c>
    </row>
    <row r="671" spans="1:6" x14ac:dyDescent="0.25">
      <c r="A671" s="6"/>
      <c r="F671" s="12" t="str">
        <f t="shared" si="10"/>
        <v/>
      </c>
    </row>
    <row r="672" spans="1:6" x14ac:dyDescent="0.25">
      <c r="A672" s="6"/>
      <c r="F672" s="12" t="str">
        <f t="shared" si="10"/>
        <v/>
      </c>
    </row>
    <row r="673" spans="1:6" x14ac:dyDescent="0.25">
      <c r="A673" s="6"/>
      <c r="F673" s="12" t="str">
        <f t="shared" si="10"/>
        <v/>
      </c>
    </row>
    <row r="674" spans="1:6" x14ac:dyDescent="0.25">
      <c r="A674" s="6"/>
      <c r="F674" s="12" t="str">
        <f t="shared" si="10"/>
        <v/>
      </c>
    </row>
    <row r="675" spans="1:6" x14ac:dyDescent="0.25">
      <c r="A675" s="6"/>
      <c r="F675" s="12" t="str">
        <f t="shared" si="10"/>
        <v/>
      </c>
    </row>
    <row r="676" spans="1:6" x14ac:dyDescent="0.25">
      <c r="A676" s="6"/>
      <c r="F676" s="12" t="str">
        <f t="shared" si="10"/>
        <v/>
      </c>
    </row>
    <row r="677" spans="1:6" x14ac:dyDescent="0.25">
      <c r="A677" s="6"/>
      <c r="F677" s="12" t="str">
        <f t="shared" si="10"/>
        <v/>
      </c>
    </row>
    <row r="678" spans="1:6" x14ac:dyDescent="0.25">
      <c r="A678" s="6"/>
      <c r="F678" s="12" t="str">
        <f t="shared" si="10"/>
        <v/>
      </c>
    </row>
    <row r="679" spans="1:6" x14ac:dyDescent="0.25">
      <c r="A679" s="6"/>
      <c r="F679" s="12" t="str">
        <f t="shared" si="10"/>
        <v/>
      </c>
    </row>
    <row r="680" spans="1:6" x14ac:dyDescent="0.25">
      <c r="A680" s="6"/>
      <c r="F680" s="12" t="str">
        <f t="shared" si="10"/>
        <v/>
      </c>
    </row>
    <row r="681" spans="1:6" x14ac:dyDescent="0.25">
      <c r="A681" s="6"/>
      <c r="F681" s="12" t="str">
        <f t="shared" si="10"/>
        <v/>
      </c>
    </row>
    <row r="682" spans="1:6" x14ac:dyDescent="0.25">
      <c r="A682" s="6"/>
      <c r="F682" s="12" t="str">
        <f t="shared" si="10"/>
        <v/>
      </c>
    </row>
    <row r="683" spans="1:6" x14ac:dyDescent="0.25">
      <c r="A683" s="6"/>
      <c r="F683" s="12" t="str">
        <f t="shared" si="10"/>
        <v/>
      </c>
    </row>
    <row r="684" spans="1:6" x14ac:dyDescent="0.25">
      <c r="A684" s="6"/>
      <c r="F684" s="12" t="str">
        <f t="shared" si="10"/>
        <v/>
      </c>
    </row>
    <row r="685" spans="1:6" x14ac:dyDescent="0.25">
      <c r="A685" s="6"/>
      <c r="F685" s="12" t="str">
        <f t="shared" si="10"/>
        <v/>
      </c>
    </row>
    <row r="686" spans="1:6" x14ac:dyDescent="0.25">
      <c r="A686" s="6"/>
      <c r="F686" s="12" t="str">
        <f t="shared" si="10"/>
        <v/>
      </c>
    </row>
    <row r="687" spans="1:6" x14ac:dyDescent="0.25">
      <c r="A687" s="6"/>
      <c r="F687" s="12" t="str">
        <f t="shared" si="10"/>
        <v/>
      </c>
    </row>
    <row r="688" spans="1:6" x14ac:dyDescent="0.25">
      <c r="A688" s="6"/>
      <c r="F688" s="12" t="str">
        <f t="shared" si="10"/>
        <v/>
      </c>
    </row>
    <row r="689" spans="1:6" x14ac:dyDescent="0.25">
      <c r="A689" s="6"/>
      <c r="F689" s="12" t="str">
        <f t="shared" si="10"/>
        <v/>
      </c>
    </row>
    <row r="690" spans="1:6" x14ac:dyDescent="0.25">
      <c r="A690" s="6"/>
      <c r="F690" s="12" t="str">
        <f t="shared" si="10"/>
        <v/>
      </c>
    </row>
    <row r="691" spans="1:6" x14ac:dyDescent="0.25">
      <c r="A691" s="6"/>
      <c r="F691" s="12" t="str">
        <f t="shared" si="10"/>
        <v/>
      </c>
    </row>
    <row r="692" spans="1:6" x14ac:dyDescent="0.25">
      <c r="A692" s="6"/>
      <c r="F692" s="12" t="str">
        <f t="shared" si="10"/>
        <v/>
      </c>
    </row>
    <row r="693" spans="1:6" x14ac:dyDescent="0.25">
      <c r="A693" s="6"/>
      <c r="F693" s="12" t="str">
        <f t="shared" si="10"/>
        <v/>
      </c>
    </row>
    <row r="694" spans="1:6" x14ac:dyDescent="0.25">
      <c r="A694" s="6"/>
      <c r="F694" s="12" t="str">
        <f t="shared" si="10"/>
        <v/>
      </c>
    </row>
    <row r="695" spans="1:6" x14ac:dyDescent="0.25">
      <c r="A695" s="6"/>
      <c r="F695" s="12" t="str">
        <f t="shared" si="10"/>
        <v/>
      </c>
    </row>
    <row r="696" spans="1:6" x14ac:dyDescent="0.25">
      <c r="A696" s="6"/>
      <c r="F696" s="12" t="str">
        <f t="shared" si="10"/>
        <v/>
      </c>
    </row>
    <row r="697" spans="1:6" x14ac:dyDescent="0.25">
      <c r="A697" s="6"/>
      <c r="F697" s="12" t="str">
        <f t="shared" si="10"/>
        <v/>
      </c>
    </row>
    <row r="698" spans="1:6" x14ac:dyDescent="0.25">
      <c r="A698" s="6"/>
      <c r="F698" s="12" t="str">
        <f t="shared" si="10"/>
        <v/>
      </c>
    </row>
    <row r="699" spans="1:6" x14ac:dyDescent="0.25">
      <c r="A699" s="6"/>
      <c r="F699" s="12" t="str">
        <f t="shared" si="10"/>
        <v/>
      </c>
    </row>
    <row r="700" spans="1:6" x14ac:dyDescent="0.25">
      <c r="A700" s="6"/>
      <c r="F700" s="12" t="str">
        <f t="shared" si="10"/>
        <v/>
      </c>
    </row>
    <row r="701" spans="1:6" x14ac:dyDescent="0.25">
      <c r="A701" s="6"/>
      <c r="F701" s="12" t="str">
        <f t="shared" si="10"/>
        <v/>
      </c>
    </row>
    <row r="702" spans="1:6" x14ac:dyDescent="0.25">
      <c r="A702" s="6"/>
      <c r="F702" s="12" t="str">
        <f t="shared" si="10"/>
        <v/>
      </c>
    </row>
    <row r="703" spans="1:6" x14ac:dyDescent="0.25">
      <c r="A703" s="6"/>
      <c r="F703" s="12" t="str">
        <f t="shared" si="10"/>
        <v/>
      </c>
    </row>
    <row r="704" spans="1:6" x14ac:dyDescent="0.25">
      <c r="A704" s="6"/>
      <c r="F704" s="12" t="str">
        <f t="shared" si="10"/>
        <v/>
      </c>
    </row>
    <row r="705" spans="1:6" x14ac:dyDescent="0.25">
      <c r="A705" s="6"/>
      <c r="F705" s="12" t="str">
        <f t="shared" si="10"/>
        <v/>
      </c>
    </row>
    <row r="706" spans="1:6" x14ac:dyDescent="0.25">
      <c r="A706" s="6"/>
      <c r="F706" s="12" t="str">
        <f t="shared" si="10"/>
        <v/>
      </c>
    </row>
    <row r="707" spans="1:6" x14ac:dyDescent="0.25">
      <c r="A707" s="6"/>
      <c r="F707" s="12" t="str">
        <f t="shared" ref="F707:F770" si="11">IF((D707*E707)=0, "", D707*E707)</f>
        <v/>
      </c>
    </row>
    <row r="708" spans="1:6" x14ac:dyDescent="0.25">
      <c r="A708" s="6"/>
      <c r="F708" s="12" t="str">
        <f t="shared" si="11"/>
        <v/>
      </c>
    </row>
    <row r="709" spans="1:6" x14ac:dyDescent="0.25">
      <c r="A709" s="6"/>
      <c r="F709" s="12" t="str">
        <f t="shared" si="11"/>
        <v/>
      </c>
    </row>
    <row r="710" spans="1:6" x14ac:dyDescent="0.25">
      <c r="A710" s="6"/>
      <c r="F710" s="12" t="str">
        <f t="shared" si="11"/>
        <v/>
      </c>
    </row>
    <row r="711" spans="1:6" x14ac:dyDescent="0.25">
      <c r="A711" s="6"/>
      <c r="F711" s="12" t="str">
        <f t="shared" si="11"/>
        <v/>
      </c>
    </row>
    <row r="712" spans="1:6" x14ac:dyDescent="0.25">
      <c r="A712" s="6"/>
      <c r="F712" s="12" t="str">
        <f t="shared" si="11"/>
        <v/>
      </c>
    </row>
    <row r="713" spans="1:6" x14ac:dyDescent="0.25">
      <c r="A713" s="6"/>
      <c r="F713" s="12" t="str">
        <f t="shared" si="11"/>
        <v/>
      </c>
    </row>
    <row r="714" spans="1:6" x14ac:dyDescent="0.25">
      <c r="A714" s="6"/>
      <c r="F714" s="12" t="str">
        <f t="shared" si="11"/>
        <v/>
      </c>
    </row>
    <row r="715" spans="1:6" x14ac:dyDescent="0.25">
      <c r="A715" s="6"/>
      <c r="F715" s="12" t="str">
        <f t="shared" si="11"/>
        <v/>
      </c>
    </row>
    <row r="716" spans="1:6" x14ac:dyDescent="0.25">
      <c r="A716" s="6"/>
      <c r="F716" s="12" t="str">
        <f t="shared" si="11"/>
        <v/>
      </c>
    </row>
    <row r="717" spans="1:6" x14ac:dyDescent="0.25">
      <c r="A717" s="6"/>
      <c r="F717" s="12" t="str">
        <f t="shared" si="11"/>
        <v/>
      </c>
    </row>
    <row r="718" spans="1:6" x14ac:dyDescent="0.25">
      <c r="A718" s="6"/>
      <c r="F718" s="12" t="str">
        <f t="shared" si="11"/>
        <v/>
      </c>
    </row>
    <row r="719" spans="1:6" x14ac:dyDescent="0.25">
      <c r="A719" s="6"/>
      <c r="F719" s="12" t="str">
        <f t="shared" si="11"/>
        <v/>
      </c>
    </row>
    <row r="720" spans="1:6" x14ac:dyDescent="0.25">
      <c r="A720" s="6"/>
      <c r="F720" s="12" t="str">
        <f t="shared" si="11"/>
        <v/>
      </c>
    </row>
    <row r="721" spans="1:6" x14ac:dyDescent="0.25">
      <c r="A721" s="6"/>
      <c r="F721" s="12" t="str">
        <f t="shared" si="11"/>
        <v/>
      </c>
    </row>
    <row r="722" spans="1:6" x14ac:dyDescent="0.25">
      <c r="A722" s="6"/>
      <c r="F722" s="12" t="str">
        <f t="shared" si="11"/>
        <v/>
      </c>
    </row>
    <row r="723" spans="1:6" x14ac:dyDescent="0.25">
      <c r="A723" s="6"/>
      <c r="F723" s="12" t="str">
        <f t="shared" si="11"/>
        <v/>
      </c>
    </row>
    <row r="724" spans="1:6" x14ac:dyDescent="0.25">
      <c r="A724" s="6"/>
      <c r="F724" s="12" t="str">
        <f t="shared" si="11"/>
        <v/>
      </c>
    </row>
    <row r="725" spans="1:6" x14ac:dyDescent="0.25">
      <c r="A725" s="6"/>
      <c r="F725" s="12" t="str">
        <f t="shared" si="11"/>
        <v/>
      </c>
    </row>
    <row r="726" spans="1:6" x14ac:dyDescent="0.25">
      <c r="A726" s="6"/>
      <c r="F726" s="12" t="str">
        <f t="shared" si="11"/>
        <v/>
      </c>
    </row>
    <row r="727" spans="1:6" x14ac:dyDescent="0.25">
      <c r="A727" s="6"/>
      <c r="F727" s="12" t="str">
        <f t="shared" si="11"/>
        <v/>
      </c>
    </row>
    <row r="728" spans="1:6" x14ac:dyDescent="0.25">
      <c r="A728" s="6"/>
      <c r="F728" s="12" t="str">
        <f t="shared" si="11"/>
        <v/>
      </c>
    </row>
    <row r="729" spans="1:6" x14ac:dyDescent="0.25">
      <c r="A729" s="6"/>
      <c r="F729" s="12" t="str">
        <f t="shared" si="11"/>
        <v/>
      </c>
    </row>
    <row r="730" spans="1:6" x14ac:dyDescent="0.25">
      <c r="A730" s="6"/>
      <c r="F730" s="12" t="str">
        <f t="shared" si="11"/>
        <v/>
      </c>
    </row>
    <row r="731" spans="1:6" x14ac:dyDescent="0.25">
      <c r="A731" s="6"/>
      <c r="F731" s="12" t="str">
        <f t="shared" si="11"/>
        <v/>
      </c>
    </row>
    <row r="732" spans="1:6" x14ac:dyDescent="0.25">
      <c r="A732" s="6"/>
      <c r="F732" s="12" t="str">
        <f t="shared" si="11"/>
        <v/>
      </c>
    </row>
    <row r="733" spans="1:6" x14ac:dyDescent="0.25">
      <c r="A733" s="6"/>
      <c r="F733" s="12" t="str">
        <f t="shared" si="11"/>
        <v/>
      </c>
    </row>
    <row r="734" spans="1:6" x14ac:dyDescent="0.25">
      <c r="A734" s="6"/>
      <c r="F734" s="12" t="str">
        <f t="shared" si="11"/>
        <v/>
      </c>
    </row>
    <row r="735" spans="1:6" x14ac:dyDescent="0.25">
      <c r="A735" s="6"/>
      <c r="F735" s="12" t="str">
        <f t="shared" si="11"/>
        <v/>
      </c>
    </row>
    <row r="736" spans="1:6" x14ac:dyDescent="0.25">
      <c r="A736" s="6"/>
      <c r="F736" s="12" t="str">
        <f t="shared" si="11"/>
        <v/>
      </c>
    </row>
    <row r="737" spans="1:6" x14ac:dyDescent="0.25">
      <c r="A737" s="6"/>
      <c r="F737" s="12" t="str">
        <f t="shared" si="11"/>
        <v/>
      </c>
    </row>
    <row r="738" spans="1:6" x14ac:dyDescent="0.25">
      <c r="A738" s="6"/>
      <c r="F738" s="12" t="str">
        <f t="shared" si="11"/>
        <v/>
      </c>
    </row>
    <row r="739" spans="1:6" x14ac:dyDescent="0.25">
      <c r="A739" s="6"/>
      <c r="F739" s="12" t="str">
        <f t="shared" si="11"/>
        <v/>
      </c>
    </row>
    <row r="740" spans="1:6" x14ac:dyDescent="0.25">
      <c r="A740" s="6"/>
      <c r="F740" s="12" t="str">
        <f t="shared" si="11"/>
        <v/>
      </c>
    </row>
    <row r="741" spans="1:6" x14ac:dyDescent="0.25">
      <c r="A741" s="6"/>
      <c r="F741" s="12" t="str">
        <f t="shared" si="11"/>
        <v/>
      </c>
    </row>
    <row r="742" spans="1:6" x14ac:dyDescent="0.25">
      <c r="A742" s="6"/>
      <c r="F742" s="12" t="str">
        <f t="shared" si="11"/>
        <v/>
      </c>
    </row>
    <row r="743" spans="1:6" x14ac:dyDescent="0.25">
      <c r="A743" s="6"/>
      <c r="F743" s="12" t="str">
        <f t="shared" si="11"/>
        <v/>
      </c>
    </row>
    <row r="744" spans="1:6" x14ac:dyDescent="0.25">
      <c r="A744" s="6"/>
      <c r="F744" s="12" t="str">
        <f t="shared" si="11"/>
        <v/>
      </c>
    </row>
    <row r="745" spans="1:6" x14ac:dyDescent="0.25">
      <c r="A745" s="6"/>
      <c r="F745" s="12" t="str">
        <f t="shared" si="11"/>
        <v/>
      </c>
    </row>
    <row r="746" spans="1:6" x14ac:dyDescent="0.25">
      <c r="A746" s="6"/>
      <c r="F746" s="12" t="str">
        <f t="shared" si="11"/>
        <v/>
      </c>
    </row>
    <row r="747" spans="1:6" x14ac:dyDescent="0.25">
      <c r="A747" s="6"/>
      <c r="F747" s="12" t="str">
        <f t="shared" si="11"/>
        <v/>
      </c>
    </row>
    <row r="748" spans="1:6" x14ac:dyDescent="0.25">
      <c r="A748" s="6"/>
      <c r="F748" s="12" t="str">
        <f t="shared" si="11"/>
        <v/>
      </c>
    </row>
    <row r="749" spans="1:6" x14ac:dyDescent="0.25">
      <c r="A749" s="6"/>
      <c r="F749" s="12" t="str">
        <f t="shared" si="11"/>
        <v/>
      </c>
    </row>
    <row r="750" spans="1:6" x14ac:dyDescent="0.25">
      <c r="A750" s="6"/>
      <c r="F750" s="12" t="str">
        <f t="shared" si="11"/>
        <v/>
      </c>
    </row>
    <row r="751" spans="1:6" x14ac:dyDescent="0.25">
      <c r="A751" s="6"/>
      <c r="F751" s="12" t="str">
        <f t="shared" si="11"/>
        <v/>
      </c>
    </row>
    <row r="752" spans="1:6" x14ac:dyDescent="0.25">
      <c r="A752" s="6"/>
      <c r="F752" s="12" t="str">
        <f t="shared" si="11"/>
        <v/>
      </c>
    </row>
    <row r="753" spans="1:6" x14ac:dyDescent="0.25">
      <c r="A753" s="6"/>
      <c r="F753" s="12" t="str">
        <f t="shared" si="11"/>
        <v/>
      </c>
    </row>
    <row r="754" spans="1:6" x14ac:dyDescent="0.25">
      <c r="A754" s="6"/>
      <c r="F754" s="12" t="str">
        <f t="shared" si="11"/>
        <v/>
      </c>
    </row>
    <row r="755" spans="1:6" x14ac:dyDescent="0.25">
      <c r="A755" s="6"/>
      <c r="F755" s="12" t="str">
        <f t="shared" si="11"/>
        <v/>
      </c>
    </row>
    <row r="756" spans="1:6" x14ac:dyDescent="0.25">
      <c r="A756" s="6"/>
      <c r="F756" s="12" t="str">
        <f t="shared" si="11"/>
        <v/>
      </c>
    </row>
    <row r="757" spans="1:6" x14ac:dyDescent="0.25">
      <c r="A757" s="6"/>
      <c r="F757" s="12" t="str">
        <f t="shared" si="11"/>
        <v/>
      </c>
    </row>
    <row r="758" spans="1:6" x14ac:dyDescent="0.25">
      <c r="A758" s="6"/>
      <c r="F758" s="12" t="str">
        <f t="shared" si="11"/>
        <v/>
      </c>
    </row>
    <row r="759" spans="1:6" x14ac:dyDescent="0.25">
      <c r="A759" s="6"/>
      <c r="F759" s="12" t="str">
        <f t="shared" si="11"/>
        <v/>
      </c>
    </row>
    <row r="760" spans="1:6" x14ac:dyDescent="0.25">
      <c r="A760" s="6"/>
      <c r="F760" s="12" t="str">
        <f t="shared" si="11"/>
        <v/>
      </c>
    </row>
    <row r="761" spans="1:6" x14ac:dyDescent="0.25">
      <c r="A761" s="6"/>
      <c r="F761" s="12" t="str">
        <f t="shared" si="11"/>
        <v/>
      </c>
    </row>
    <row r="762" spans="1:6" x14ac:dyDescent="0.25">
      <c r="A762" s="6"/>
      <c r="F762" s="12" t="str">
        <f t="shared" si="11"/>
        <v/>
      </c>
    </row>
    <row r="763" spans="1:6" x14ac:dyDescent="0.25">
      <c r="A763" s="6"/>
      <c r="F763" s="12" t="str">
        <f t="shared" si="11"/>
        <v/>
      </c>
    </row>
    <row r="764" spans="1:6" x14ac:dyDescent="0.25">
      <c r="A764" s="6"/>
      <c r="F764" s="12" t="str">
        <f t="shared" si="11"/>
        <v/>
      </c>
    </row>
    <row r="765" spans="1:6" x14ac:dyDescent="0.25">
      <c r="A765" s="6"/>
      <c r="F765" s="12" t="str">
        <f t="shared" si="11"/>
        <v/>
      </c>
    </row>
    <row r="766" spans="1:6" x14ac:dyDescent="0.25">
      <c r="A766" s="6"/>
      <c r="F766" s="12" t="str">
        <f t="shared" si="11"/>
        <v/>
      </c>
    </row>
    <row r="767" spans="1:6" x14ac:dyDescent="0.25">
      <c r="A767" s="6"/>
      <c r="F767" s="12" t="str">
        <f t="shared" si="11"/>
        <v/>
      </c>
    </row>
    <row r="768" spans="1:6" x14ac:dyDescent="0.25">
      <c r="A768" s="6"/>
      <c r="F768" s="12" t="str">
        <f t="shared" si="11"/>
        <v/>
      </c>
    </row>
    <row r="769" spans="1:6" x14ac:dyDescent="0.25">
      <c r="A769" s="6"/>
      <c r="F769" s="12" t="str">
        <f t="shared" si="11"/>
        <v/>
      </c>
    </row>
    <row r="770" spans="1:6" x14ac:dyDescent="0.25">
      <c r="A770" s="6"/>
      <c r="F770" s="12" t="str">
        <f t="shared" si="11"/>
        <v/>
      </c>
    </row>
    <row r="771" spans="1:6" x14ac:dyDescent="0.25">
      <c r="A771" s="6"/>
      <c r="F771" s="12" t="str">
        <f t="shared" ref="F771:F834" si="12">IF((D771*E771)=0, "", D771*E771)</f>
        <v/>
      </c>
    </row>
    <row r="772" spans="1:6" x14ac:dyDescent="0.25">
      <c r="A772" s="6"/>
      <c r="F772" s="12" t="str">
        <f t="shared" si="12"/>
        <v/>
      </c>
    </row>
    <row r="773" spans="1:6" x14ac:dyDescent="0.25">
      <c r="A773" s="6"/>
      <c r="F773" s="12" t="str">
        <f t="shared" si="12"/>
        <v/>
      </c>
    </row>
    <row r="774" spans="1:6" x14ac:dyDescent="0.25">
      <c r="A774" s="6"/>
      <c r="F774" s="12" t="str">
        <f t="shared" si="12"/>
        <v/>
      </c>
    </row>
    <row r="775" spans="1:6" x14ac:dyDescent="0.25">
      <c r="A775" s="6"/>
      <c r="F775" s="12" t="str">
        <f t="shared" si="12"/>
        <v/>
      </c>
    </row>
    <row r="776" spans="1:6" x14ac:dyDescent="0.25">
      <c r="A776" s="6"/>
      <c r="F776" s="12" t="str">
        <f t="shared" si="12"/>
        <v/>
      </c>
    </row>
    <row r="777" spans="1:6" x14ac:dyDescent="0.25">
      <c r="A777" s="6"/>
      <c r="F777" s="12" t="str">
        <f t="shared" si="12"/>
        <v/>
      </c>
    </row>
    <row r="778" spans="1:6" x14ac:dyDescent="0.25">
      <c r="A778" s="6"/>
      <c r="F778" s="12" t="str">
        <f t="shared" si="12"/>
        <v/>
      </c>
    </row>
    <row r="779" spans="1:6" x14ac:dyDescent="0.25">
      <c r="A779" s="6"/>
      <c r="F779" s="12" t="str">
        <f t="shared" si="12"/>
        <v/>
      </c>
    </row>
    <row r="780" spans="1:6" x14ac:dyDescent="0.25">
      <c r="A780" s="6"/>
      <c r="F780" s="12" t="str">
        <f t="shared" si="12"/>
        <v/>
      </c>
    </row>
    <row r="781" spans="1:6" x14ac:dyDescent="0.25">
      <c r="A781" s="6"/>
      <c r="F781" s="12" t="str">
        <f t="shared" si="12"/>
        <v/>
      </c>
    </row>
    <row r="782" spans="1:6" x14ac:dyDescent="0.25">
      <c r="A782" s="6"/>
      <c r="F782" s="12" t="str">
        <f t="shared" si="12"/>
        <v/>
      </c>
    </row>
    <row r="783" spans="1:6" x14ac:dyDescent="0.25">
      <c r="A783" s="6"/>
      <c r="F783" s="12" t="str">
        <f t="shared" si="12"/>
        <v/>
      </c>
    </row>
    <row r="784" spans="1:6" x14ac:dyDescent="0.25">
      <c r="A784" s="6"/>
      <c r="F784" s="12" t="str">
        <f t="shared" si="12"/>
        <v/>
      </c>
    </row>
    <row r="785" spans="1:6" x14ac:dyDescent="0.25">
      <c r="A785" s="6"/>
      <c r="F785" s="12" t="str">
        <f t="shared" si="12"/>
        <v/>
      </c>
    </row>
    <row r="786" spans="1:6" x14ac:dyDescent="0.25">
      <c r="A786" s="6"/>
      <c r="F786" s="12" t="str">
        <f t="shared" si="12"/>
        <v/>
      </c>
    </row>
    <row r="787" spans="1:6" x14ac:dyDescent="0.25">
      <c r="A787" s="6"/>
      <c r="F787" s="12" t="str">
        <f t="shared" si="12"/>
        <v/>
      </c>
    </row>
    <row r="788" spans="1:6" x14ac:dyDescent="0.25">
      <c r="A788" s="6"/>
      <c r="F788" s="12" t="str">
        <f t="shared" si="12"/>
        <v/>
      </c>
    </row>
    <row r="789" spans="1:6" x14ac:dyDescent="0.25">
      <c r="A789" s="6"/>
      <c r="F789" s="12" t="str">
        <f t="shared" si="12"/>
        <v/>
      </c>
    </row>
    <row r="790" spans="1:6" x14ac:dyDescent="0.25">
      <c r="A790" s="6"/>
      <c r="F790" s="12" t="str">
        <f t="shared" si="12"/>
        <v/>
      </c>
    </row>
    <row r="791" spans="1:6" x14ac:dyDescent="0.25">
      <c r="A791" s="6"/>
      <c r="F791" s="12" t="str">
        <f t="shared" si="12"/>
        <v/>
      </c>
    </row>
    <row r="792" spans="1:6" x14ac:dyDescent="0.25">
      <c r="A792" s="6"/>
      <c r="F792" s="12" t="str">
        <f t="shared" si="12"/>
        <v/>
      </c>
    </row>
    <row r="793" spans="1:6" x14ac:dyDescent="0.25">
      <c r="A793" s="6"/>
      <c r="F793" s="12" t="str">
        <f t="shared" si="12"/>
        <v/>
      </c>
    </row>
    <row r="794" spans="1:6" x14ac:dyDescent="0.25">
      <c r="A794" s="6"/>
      <c r="F794" s="12" t="str">
        <f t="shared" si="12"/>
        <v/>
      </c>
    </row>
    <row r="795" spans="1:6" x14ac:dyDescent="0.25">
      <c r="A795" s="6"/>
      <c r="F795" s="12" t="str">
        <f t="shared" si="12"/>
        <v/>
      </c>
    </row>
    <row r="796" spans="1:6" x14ac:dyDescent="0.25">
      <c r="A796" s="6"/>
      <c r="F796" s="12" t="str">
        <f t="shared" si="12"/>
        <v/>
      </c>
    </row>
    <row r="797" spans="1:6" x14ac:dyDescent="0.25">
      <c r="A797" s="6"/>
      <c r="F797" s="12" t="str">
        <f t="shared" si="12"/>
        <v/>
      </c>
    </row>
    <row r="798" spans="1:6" x14ac:dyDescent="0.25">
      <c r="A798" s="6"/>
      <c r="F798" s="12" t="str">
        <f t="shared" si="12"/>
        <v/>
      </c>
    </row>
    <row r="799" spans="1:6" x14ac:dyDescent="0.25">
      <c r="A799" s="6"/>
      <c r="F799" s="12" t="str">
        <f t="shared" si="12"/>
        <v/>
      </c>
    </row>
    <row r="800" spans="1:6" x14ac:dyDescent="0.25">
      <c r="A800" s="6"/>
      <c r="F800" s="12" t="str">
        <f t="shared" si="12"/>
        <v/>
      </c>
    </row>
    <row r="801" spans="1:6" x14ac:dyDescent="0.25">
      <c r="A801" s="6"/>
      <c r="F801" s="12" t="str">
        <f t="shared" si="12"/>
        <v/>
      </c>
    </row>
    <row r="802" spans="1:6" x14ac:dyDescent="0.25">
      <c r="A802" s="6"/>
      <c r="F802" s="12" t="str">
        <f t="shared" si="12"/>
        <v/>
      </c>
    </row>
    <row r="803" spans="1:6" x14ac:dyDescent="0.25">
      <c r="A803" s="6"/>
      <c r="F803" s="12" t="str">
        <f t="shared" si="12"/>
        <v/>
      </c>
    </row>
    <row r="804" spans="1:6" x14ac:dyDescent="0.25">
      <c r="A804" s="6"/>
      <c r="F804" s="12" t="str">
        <f t="shared" si="12"/>
        <v/>
      </c>
    </row>
    <row r="805" spans="1:6" x14ac:dyDescent="0.25">
      <c r="A805" s="6"/>
      <c r="F805" s="12" t="str">
        <f t="shared" si="12"/>
        <v/>
      </c>
    </row>
    <row r="806" spans="1:6" x14ac:dyDescent="0.25">
      <c r="A806" s="6"/>
      <c r="F806" s="12" t="str">
        <f t="shared" si="12"/>
        <v/>
      </c>
    </row>
    <row r="807" spans="1:6" x14ac:dyDescent="0.25">
      <c r="A807" s="6"/>
      <c r="F807" s="12" t="str">
        <f t="shared" si="12"/>
        <v/>
      </c>
    </row>
    <row r="808" spans="1:6" x14ac:dyDescent="0.25">
      <c r="A808" s="6"/>
      <c r="F808" s="12" t="str">
        <f t="shared" si="12"/>
        <v/>
      </c>
    </row>
    <row r="809" spans="1:6" x14ac:dyDescent="0.25">
      <c r="A809" s="6"/>
      <c r="F809" s="12" t="str">
        <f t="shared" si="12"/>
        <v/>
      </c>
    </row>
    <row r="810" spans="1:6" x14ac:dyDescent="0.25">
      <c r="A810" s="6"/>
      <c r="F810" s="12" t="str">
        <f t="shared" si="12"/>
        <v/>
      </c>
    </row>
    <row r="811" spans="1:6" x14ac:dyDescent="0.25">
      <c r="A811" s="6"/>
      <c r="F811" s="12" t="str">
        <f t="shared" si="12"/>
        <v/>
      </c>
    </row>
    <row r="812" spans="1:6" x14ac:dyDescent="0.25">
      <c r="A812" s="6"/>
      <c r="F812" s="12" t="str">
        <f t="shared" si="12"/>
        <v/>
      </c>
    </row>
    <row r="813" spans="1:6" x14ac:dyDescent="0.25">
      <c r="A813" s="6"/>
      <c r="F813" s="12" t="str">
        <f t="shared" si="12"/>
        <v/>
      </c>
    </row>
    <row r="814" spans="1:6" x14ac:dyDescent="0.25">
      <c r="A814" s="6"/>
      <c r="F814" s="12" t="str">
        <f t="shared" si="12"/>
        <v/>
      </c>
    </row>
    <row r="815" spans="1:6" x14ac:dyDescent="0.25">
      <c r="A815" s="6"/>
      <c r="F815" s="12" t="str">
        <f t="shared" si="12"/>
        <v/>
      </c>
    </row>
    <row r="816" spans="1:6" x14ac:dyDescent="0.25">
      <c r="A816" s="6"/>
      <c r="F816" s="12" t="str">
        <f t="shared" si="12"/>
        <v/>
      </c>
    </row>
    <row r="817" spans="1:6" x14ac:dyDescent="0.25">
      <c r="A817" s="6"/>
      <c r="F817" s="12" t="str">
        <f t="shared" si="12"/>
        <v/>
      </c>
    </row>
    <row r="818" spans="1:6" x14ac:dyDescent="0.25">
      <c r="A818" s="6"/>
      <c r="F818" s="12" t="str">
        <f t="shared" si="12"/>
        <v/>
      </c>
    </row>
    <row r="819" spans="1:6" x14ac:dyDescent="0.25">
      <c r="A819" s="6"/>
      <c r="F819" s="12" t="str">
        <f t="shared" si="12"/>
        <v/>
      </c>
    </row>
    <row r="820" spans="1:6" x14ac:dyDescent="0.25">
      <c r="A820" s="6"/>
      <c r="F820" s="12" t="str">
        <f t="shared" si="12"/>
        <v/>
      </c>
    </row>
    <row r="821" spans="1:6" x14ac:dyDescent="0.25">
      <c r="A821" s="6"/>
      <c r="F821" s="12" t="str">
        <f t="shared" si="12"/>
        <v/>
      </c>
    </row>
    <row r="822" spans="1:6" x14ac:dyDescent="0.25">
      <c r="A822" s="6"/>
      <c r="F822" s="12" t="str">
        <f t="shared" si="12"/>
        <v/>
      </c>
    </row>
    <row r="823" spans="1:6" x14ac:dyDescent="0.25">
      <c r="A823" s="6"/>
      <c r="F823" s="12" t="str">
        <f t="shared" si="12"/>
        <v/>
      </c>
    </row>
    <row r="824" spans="1:6" x14ac:dyDescent="0.25">
      <c r="A824" s="6"/>
      <c r="F824" s="12" t="str">
        <f t="shared" si="12"/>
        <v/>
      </c>
    </row>
    <row r="825" spans="1:6" x14ac:dyDescent="0.25">
      <c r="A825" s="6"/>
      <c r="F825" s="12" t="str">
        <f t="shared" si="12"/>
        <v/>
      </c>
    </row>
    <row r="826" spans="1:6" x14ac:dyDescent="0.25">
      <c r="A826" s="6"/>
      <c r="F826" s="12" t="str">
        <f t="shared" si="12"/>
        <v/>
      </c>
    </row>
    <row r="827" spans="1:6" x14ac:dyDescent="0.25">
      <c r="A827" s="6"/>
      <c r="F827" s="12" t="str">
        <f t="shared" si="12"/>
        <v/>
      </c>
    </row>
    <row r="828" spans="1:6" x14ac:dyDescent="0.25">
      <c r="A828" s="6"/>
      <c r="F828" s="12" t="str">
        <f t="shared" si="12"/>
        <v/>
      </c>
    </row>
    <row r="829" spans="1:6" x14ac:dyDescent="0.25">
      <c r="A829" s="6"/>
      <c r="F829" s="12" t="str">
        <f t="shared" si="12"/>
        <v/>
      </c>
    </row>
    <row r="830" spans="1:6" x14ac:dyDescent="0.25">
      <c r="A830" s="6"/>
      <c r="F830" s="12" t="str">
        <f t="shared" si="12"/>
        <v/>
      </c>
    </row>
    <row r="831" spans="1:6" x14ac:dyDescent="0.25">
      <c r="A831" s="6"/>
      <c r="F831" s="12" t="str">
        <f t="shared" si="12"/>
        <v/>
      </c>
    </row>
    <row r="832" spans="1:6" x14ac:dyDescent="0.25">
      <c r="A832" s="6"/>
      <c r="F832" s="12" t="str">
        <f t="shared" si="12"/>
        <v/>
      </c>
    </row>
    <row r="833" spans="1:6" x14ac:dyDescent="0.25">
      <c r="A833" s="6"/>
      <c r="F833" s="12" t="str">
        <f t="shared" si="12"/>
        <v/>
      </c>
    </row>
    <row r="834" spans="1:6" x14ac:dyDescent="0.25">
      <c r="A834" s="6"/>
      <c r="F834" s="12" t="str">
        <f t="shared" si="12"/>
        <v/>
      </c>
    </row>
    <row r="835" spans="1:6" x14ac:dyDescent="0.25">
      <c r="A835" s="6"/>
      <c r="F835" s="12" t="str">
        <f t="shared" ref="F835:F898" si="13">IF((D835*E835)=0, "", D835*E835)</f>
        <v/>
      </c>
    </row>
    <row r="836" spans="1:6" x14ac:dyDescent="0.25">
      <c r="A836" s="6"/>
      <c r="F836" s="12" t="str">
        <f t="shared" si="13"/>
        <v/>
      </c>
    </row>
    <row r="837" spans="1:6" x14ac:dyDescent="0.25">
      <c r="A837" s="6"/>
      <c r="F837" s="12" t="str">
        <f t="shared" si="13"/>
        <v/>
      </c>
    </row>
    <row r="838" spans="1:6" x14ac:dyDescent="0.25">
      <c r="A838" s="6"/>
      <c r="F838" s="12" t="str">
        <f t="shared" si="13"/>
        <v/>
      </c>
    </row>
    <row r="839" spans="1:6" x14ac:dyDescent="0.25">
      <c r="A839" s="6"/>
      <c r="F839" s="12" t="str">
        <f t="shared" si="13"/>
        <v/>
      </c>
    </row>
    <row r="840" spans="1:6" x14ac:dyDescent="0.25">
      <c r="A840" s="6"/>
      <c r="F840" s="12" t="str">
        <f t="shared" si="13"/>
        <v/>
      </c>
    </row>
    <row r="841" spans="1:6" x14ac:dyDescent="0.25">
      <c r="A841" s="6"/>
      <c r="F841" s="12" t="str">
        <f t="shared" si="13"/>
        <v/>
      </c>
    </row>
    <row r="842" spans="1:6" x14ac:dyDescent="0.25">
      <c r="A842" s="6"/>
      <c r="F842" s="12" t="str">
        <f t="shared" si="13"/>
        <v/>
      </c>
    </row>
    <row r="843" spans="1:6" x14ac:dyDescent="0.25">
      <c r="A843" s="6"/>
      <c r="F843" s="12" t="str">
        <f t="shared" si="13"/>
        <v/>
      </c>
    </row>
    <row r="844" spans="1:6" x14ac:dyDescent="0.25">
      <c r="A844" s="6"/>
      <c r="F844" s="12" t="str">
        <f t="shared" si="13"/>
        <v/>
      </c>
    </row>
    <row r="845" spans="1:6" x14ac:dyDescent="0.25">
      <c r="A845" s="6"/>
      <c r="F845" s="12" t="str">
        <f t="shared" si="13"/>
        <v/>
      </c>
    </row>
    <row r="846" spans="1:6" x14ac:dyDescent="0.25">
      <c r="A846" s="6"/>
      <c r="F846" s="12" t="str">
        <f t="shared" si="13"/>
        <v/>
      </c>
    </row>
    <row r="847" spans="1:6" x14ac:dyDescent="0.25">
      <c r="A847" s="6"/>
      <c r="F847" s="12" t="str">
        <f t="shared" si="13"/>
        <v/>
      </c>
    </row>
    <row r="848" spans="1:6" x14ac:dyDescent="0.25">
      <c r="A848" s="6"/>
      <c r="F848" s="12" t="str">
        <f t="shared" si="13"/>
        <v/>
      </c>
    </row>
    <row r="849" spans="1:6" x14ac:dyDescent="0.25">
      <c r="A849" s="6"/>
      <c r="F849" s="12" t="str">
        <f t="shared" si="13"/>
        <v/>
      </c>
    </row>
    <row r="850" spans="1:6" x14ac:dyDescent="0.25">
      <c r="A850" s="6"/>
      <c r="F850" s="12" t="str">
        <f t="shared" si="13"/>
        <v/>
      </c>
    </row>
    <row r="851" spans="1:6" x14ac:dyDescent="0.25">
      <c r="A851" s="6"/>
      <c r="F851" s="12" t="str">
        <f t="shared" si="13"/>
        <v/>
      </c>
    </row>
    <row r="852" spans="1:6" x14ac:dyDescent="0.25">
      <c r="A852" s="6"/>
      <c r="F852" s="12" t="str">
        <f t="shared" si="13"/>
        <v/>
      </c>
    </row>
    <row r="853" spans="1:6" x14ac:dyDescent="0.25">
      <c r="A853" s="6"/>
      <c r="F853" s="12" t="str">
        <f t="shared" si="13"/>
        <v/>
      </c>
    </row>
    <row r="854" spans="1:6" x14ac:dyDescent="0.25">
      <c r="A854" s="6"/>
      <c r="F854" s="12" t="str">
        <f t="shared" si="13"/>
        <v/>
      </c>
    </row>
    <row r="855" spans="1:6" x14ac:dyDescent="0.25">
      <c r="A855" s="6"/>
      <c r="F855" s="12" t="str">
        <f t="shared" si="13"/>
        <v/>
      </c>
    </row>
    <row r="856" spans="1:6" x14ac:dyDescent="0.25">
      <c r="A856" s="6"/>
      <c r="F856" s="12" t="str">
        <f t="shared" si="13"/>
        <v/>
      </c>
    </row>
    <row r="857" spans="1:6" x14ac:dyDescent="0.25">
      <c r="A857" s="6"/>
      <c r="F857" s="12" t="str">
        <f t="shared" si="13"/>
        <v/>
      </c>
    </row>
    <row r="858" spans="1:6" x14ac:dyDescent="0.25">
      <c r="A858" s="6"/>
      <c r="F858" s="12" t="str">
        <f t="shared" si="13"/>
        <v/>
      </c>
    </row>
    <row r="859" spans="1:6" x14ac:dyDescent="0.25">
      <c r="A859" s="6"/>
      <c r="F859" s="12" t="str">
        <f t="shared" si="13"/>
        <v/>
      </c>
    </row>
    <row r="860" spans="1:6" x14ac:dyDescent="0.25">
      <c r="A860" s="6"/>
      <c r="F860" s="12" t="str">
        <f t="shared" si="13"/>
        <v/>
      </c>
    </row>
    <row r="861" spans="1:6" x14ac:dyDescent="0.25">
      <c r="A861" s="6"/>
      <c r="F861" s="12" t="str">
        <f t="shared" si="13"/>
        <v/>
      </c>
    </row>
    <row r="862" spans="1:6" x14ac:dyDescent="0.25">
      <c r="A862" s="6"/>
      <c r="F862" s="12" t="str">
        <f t="shared" si="13"/>
        <v/>
      </c>
    </row>
    <row r="863" spans="1:6" x14ac:dyDescent="0.25">
      <c r="A863" s="6"/>
      <c r="F863" s="12" t="str">
        <f t="shared" si="13"/>
        <v/>
      </c>
    </row>
    <row r="864" spans="1:6" x14ac:dyDescent="0.25">
      <c r="A864" s="6"/>
      <c r="F864" s="12" t="str">
        <f t="shared" si="13"/>
        <v/>
      </c>
    </row>
    <row r="865" spans="1:6" x14ac:dyDescent="0.25">
      <c r="A865" s="6"/>
      <c r="F865" s="12" t="str">
        <f t="shared" si="13"/>
        <v/>
      </c>
    </row>
    <row r="866" spans="1:6" x14ac:dyDescent="0.25">
      <c r="A866" s="6"/>
      <c r="F866" s="12" t="str">
        <f t="shared" si="13"/>
        <v/>
      </c>
    </row>
    <row r="867" spans="1:6" x14ac:dyDescent="0.25">
      <c r="A867" s="6"/>
      <c r="F867" s="12" t="str">
        <f t="shared" si="13"/>
        <v/>
      </c>
    </row>
    <row r="868" spans="1:6" x14ac:dyDescent="0.25">
      <c r="A868" s="6"/>
      <c r="F868" s="12" t="str">
        <f t="shared" si="13"/>
        <v/>
      </c>
    </row>
    <row r="869" spans="1:6" x14ac:dyDescent="0.25">
      <c r="A869" s="6"/>
      <c r="F869" s="12" t="str">
        <f t="shared" si="13"/>
        <v/>
      </c>
    </row>
    <row r="870" spans="1:6" x14ac:dyDescent="0.25">
      <c r="A870" s="6"/>
      <c r="F870" s="12" t="str">
        <f t="shared" si="13"/>
        <v/>
      </c>
    </row>
    <row r="871" spans="1:6" x14ac:dyDescent="0.25">
      <c r="A871" s="6"/>
      <c r="F871" s="12" t="str">
        <f t="shared" si="13"/>
        <v/>
      </c>
    </row>
    <row r="872" spans="1:6" x14ac:dyDescent="0.25">
      <c r="A872" s="6"/>
      <c r="F872" s="12" t="str">
        <f t="shared" si="13"/>
        <v/>
      </c>
    </row>
    <row r="873" spans="1:6" x14ac:dyDescent="0.25">
      <c r="A873" s="6"/>
      <c r="F873" s="12" t="str">
        <f t="shared" si="13"/>
        <v/>
      </c>
    </row>
    <row r="874" spans="1:6" x14ac:dyDescent="0.25">
      <c r="A874" s="6"/>
      <c r="F874" s="12" t="str">
        <f t="shared" si="13"/>
        <v/>
      </c>
    </row>
    <row r="875" spans="1:6" x14ac:dyDescent="0.25">
      <c r="A875" s="6"/>
      <c r="F875" s="12" t="str">
        <f t="shared" si="13"/>
        <v/>
      </c>
    </row>
    <row r="876" spans="1:6" x14ac:dyDescent="0.25">
      <c r="A876" s="6"/>
      <c r="F876" s="12" t="str">
        <f t="shared" si="13"/>
        <v/>
      </c>
    </row>
    <row r="877" spans="1:6" x14ac:dyDescent="0.25">
      <c r="A877" s="6"/>
      <c r="F877" s="12" t="str">
        <f t="shared" si="13"/>
        <v/>
      </c>
    </row>
    <row r="878" spans="1:6" x14ac:dyDescent="0.25">
      <c r="A878" s="6"/>
      <c r="F878" s="12" t="str">
        <f t="shared" si="13"/>
        <v/>
      </c>
    </row>
    <row r="879" spans="1:6" x14ac:dyDescent="0.25">
      <c r="A879" s="6"/>
      <c r="F879" s="12" t="str">
        <f t="shared" si="13"/>
        <v/>
      </c>
    </row>
    <row r="880" spans="1:6" x14ac:dyDescent="0.25">
      <c r="A880" s="6"/>
      <c r="F880" s="12" t="str">
        <f t="shared" si="13"/>
        <v/>
      </c>
    </row>
    <row r="881" spans="1:6" x14ac:dyDescent="0.25">
      <c r="A881" s="6"/>
      <c r="F881" s="12" t="str">
        <f t="shared" si="13"/>
        <v/>
      </c>
    </row>
    <row r="882" spans="1:6" x14ac:dyDescent="0.25">
      <c r="A882" s="6"/>
      <c r="F882" s="12" t="str">
        <f t="shared" si="13"/>
        <v/>
      </c>
    </row>
    <row r="883" spans="1:6" x14ac:dyDescent="0.25">
      <c r="A883" s="6"/>
      <c r="F883" s="12" t="str">
        <f t="shared" si="13"/>
        <v/>
      </c>
    </row>
    <row r="884" spans="1:6" x14ac:dyDescent="0.25">
      <c r="A884" s="6"/>
      <c r="F884" s="12" t="str">
        <f t="shared" si="13"/>
        <v/>
      </c>
    </row>
    <row r="885" spans="1:6" x14ac:dyDescent="0.25">
      <c r="A885" s="6"/>
      <c r="F885" s="12" t="str">
        <f t="shared" si="13"/>
        <v/>
      </c>
    </row>
    <row r="886" spans="1:6" x14ac:dyDescent="0.25">
      <c r="A886" s="6"/>
      <c r="F886" s="12" t="str">
        <f t="shared" si="13"/>
        <v/>
      </c>
    </row>
    <row r="887" spans="1:6" x14ac:dyDescent="0.25">
      <c r="A887" s="6"/>
      <c r="F887" s="12" t="str">
        <f t="shared" si="13"/>
        <v/>
      </c>
    </row>
    <row r="888" spans="1:6" x14ac:dyDescent="0.25">
      <c r="A888" s="6"/>
      <c r="F888" s="12" t="str">
        <f t="shared" si="13"/>
        <v/>
      </c>
    </row>
    <row r="889" spans="1:6" x14ac:dyDescent="0.25">
      <c r="A889" s="6"/>
      <c r="F889" s="12" t="str">
        <f t="shared" si="13"/>
        <v/>
      </c>
    </row>
    <row r="890" spans="1:6" x14ac:dyDescent="0.25">
      <c r="A890" s="6"/>
      <c r="F890" s="12" t="str">
        <f t="shared" si="13"/>
        <v/>
      </c>
    </row>
    <row r="891" spans="1:6" x14ac:dyDescent="0.25">
      <c r="A891" s="6"/>
      <c r="F891" s="12" t="str">
        <f t="shared" si="13"/>
        <v/>
      </c>
    </row>
    <row r="892" spans="1:6" x14ac:dyDescent="0.25">
      <c r="A892" s="6"/>
      <c r="F892" s="12" t="str">
        <f t="shared" si="13"/>
        <v/>
      </c>
    </row>
    <row r="893" spans="1:6" x14ac:dyDescent="0.25">
      <c r="A893" s="6"/>
      <c r="F893" s="12" t="str">
        <f t="shared" si="13"/>
        <v/>
      </c>
    </row>
    <row r="894" spans="1:6" x14ac:dyDescent="0.25">
      <c r="A894" s="6"/>
      <c r="F894" s="12" t="str">
        <f t="shared" si="13"/>
        <v/>
      </c>
    </row>
    <row r="895" spans="1:6" x14ac:dyDescent="0.25">
      <c r="A895" s="6"/>
      <c r="F895" s="12" t="str">
        <f t="shared" si="13"/>
        <v/>
      </c>
    </row>
    <row r="896" spans="1:6" x14ac:dyDescent="0.25">
      <c r="A896" s="6"/>
      <c r="F896" s="12" t="str">
        <f t="shared" si="13"/>
        <v/>
      </c>
    </row>
    <row r="897" spans="1:6" x14ac:dyDescent="0.25">
      <c r="A897" s="6"/>
      <c r="F897" s="12" t="str">
        <f t="shared" si="13"/>
        <v/>
      </c>
    </row>
    <row r="898" spans="1:6" x14ac:dyDescent="0.25">
      <c r="A898" s="6"/>
      <c r="F898" s="12" t="str">
        <f t="shared" si="13"/>
        <v/>
      </c>
    </row>
    <row r="899" spans="1:6" x14ac:dyDescent="0.25">
      <c r="A899" s="6"/>
      <c r="F899" s="12" t="str">
        <f t="shared" ref="F899:F962" si="14">IF((D899*E899)=0, "", D899*E899)</f>
        <v/>
      </c>
    </row>
    <row r="900" spans="1:6" x14ac:dyDescent="0.25">
      <c r="A900" s="6"/>
      <c r="F900" s="12" t="str">
        <f t="shared" si="14"/>
        <v/>
      </c>
    </row>
    <row r="901" spans="1:6" x14ac:dyDescent="0.25">
      <c r="A901" s="6"/>
      <c r="F901" s="12" t="str">
        <f t="shared" si="14"/>
        <v/>
      </c>
    </row>
    <row r="902" spans="1:6" x14ac:dyDescent="0.25">
      <c r="A902" s="6"/>
      <c r="F902" s="12" t="str">
        <f t="shared" si="14"/>
        <v/>
      </c>
    </row>
    <row r="903" spans="1:6" x14ac:dyDescent="0.25">
      <c r="A903" s="6"/>
      <c r="F903" s="12" t="str">
        <f t="shared" si="14"/>
        <v/>
      </c>
    </row>
    <row r="904" spans="1:6" x14ac:dyDescent="0.25">
      <c r="A904" s="6"/>
      <c r="F904" s="12" t="str">
        <f t="shared" si="14"/>
        <v/>
      </c>
    </row>
    <row r="905" spans="1:6" x14ac:dyDescent="0.25">
      <c r="A905" s="6"/>
      <c r="F905" s="12" t="str">
        <f t="shared" si="14"/>
        <v/>
      </c>
    </row>
    <row r="906" spans="1:6" x14ac:dyDescent="0.25">
      <c r="A906" s="6"/>
      <c r="F906" s="12" t="str">
        <f t="shared" si="14"/>
        <v/>
      </c>
    </row>
    <row r="907" spans="1:6" x14ac:dyDescent="0.25">
      <c r="A907" s="6"/>
      <c r="F907" s="12" t="str">
        <f t="shared" si="14"/>
        <v/>
      </c>
    </row>
    <row r="908" spans="1:6" x14ac:dyDescent="0.25">
      <c r="A908" s="6"/>
      <c r="F908" s="12" t="str">
        <f t="shared" si="14"/>
        <v/>
      </c>
    </row>
    <row r="909" spans="1:6" x14ac:dyDescent="0.25">
      <c r="A909" s="6"/>
      <c r="F909" s="12" t="str">
        <f t="shared" si="14"/>
        <v/>
      </c>
    </row>
    <row r="910" spans="1:6" x14ac:dyDescent="0.25">
      <c r="A910" s="6"/>
      <c r="F910" s="12" t="str">
        <f t="shared" si="14"/>
        <v/>
      </c>
    </row>
    <row r="911" spans="1:6" x14ac:dyDescent="0.25">
      <c r="A911" s="6"/>
      <c r="F911" s="12" t="str">
        <f t="shared" si="14"/>
        <v/>
      </c>
    </row>
    <row r="912" spans="1:6" x14ac:dyDescent="0.25">
      <c r="A912" s="6"/>
      <c r="F912" s="12" t="str">
        <f t="shared" si="14"/>
        <v/>
      </c>
    </row>
    <row r="913" spans="1:6" x14ac:dyDescent="0.25">
      <c r="A913" s="6"/>
      <c r="F913" s="12" t="str">
        <f t="shared" si="14"/>
        <v/>
      </c>
    </row>
    <row r="914" spans="1:6" x14ac:dyDescent="0.25">
      <c r="A914" s="6"/>
      <c r="F914" s="12" t="str">
        <f t="shared" si="14"/>
        <v/>
      </c>
    </row>
    <row r="915" spans="1:6" x14ac:dyDescent="0.25">
      <c r="A915" s="6"/>
      <c r="F915" s="12" t="str">
        <f t="shared" si="14"/>
        <v/>
      </c>
    </row>
    <row r="916" spans="1:6" x14ac:dyDescent="0.25">
      <c r="A916" s="6"/>
      <c r="F916" s="12" t="str">
        <f t="shared" si="14"/>
        <v/>
      </c>
    </row>
    <row r="917" spans="1:6" x14ac:dyDescent="0.25">
      <c r="A917" s="6"/>
      <c r="F917" s="12" t="str">
        <f t="shared" si="14"/>
        <v/>
      </c>
    </row>
    <row r="918" spans="1:6" x14ac:dyDescent="0.25">
      <c r="A918" s="6"/>
      <c r="F918" s="12" t="str">
        <f t="shared" si="14"/>
        <v/>
      </c>
    </row>
    <row r="919" spans="1:6" x14ac:dyDescent="0.25">
      <c r="A919" s="6"/>
      <c r="F919" s="12" t="str">
        <f t="shared" si="14"/>
        <v/>
      </c>
    </row>
    <row r="920" spans="1:6" x14ac:dyDescent="0.25">
      <c r="A920" s="6"/>
      <c r="F920" s="12" t="str">
        <f t="shared" si="14"/>
        <v/>
      </c>
    </row>
    <row r="921" spans="1:6" x14ac:dyDescent="0.25">
      <c r="A921" s="6"/>
      <c r="F921" s="12" t="str">
        <f t="shared" si="14"/>
        <v/>
      </c>
    </row>
    <row r="922" spans="1:6" x14ac:dyDescent="0.25">
      <c r="A922" s="6"/>
      <c r="F922" s="12" t="str">
        <f t="shared" si="14"/>
        <v/>
      </c>
    </row>
    <row r="923" spans="1:6" x14ac:dyDescent="0.25">
      <c r="A923" s="6"/>
      <c r="F923" s="12" t="str">
        <f t="shared" si="14"/>
        <v/>
      </c>
    </row>
    <row r="924" spans="1:6" x14ac:dyDescent="0.25">
      <c r="A924" s="6"/>
      <c r="F924" s="12" t="str">
        <f t="shared" si="14"/>
        <v/>
      </c>
    </row>
    <row r="925" spans="1:6" x14ac:dyDescent="0.25">
      <c r="A925" s="6"/>
      <c r="F925" s="12" t="str">
        <f t="shared" si="14"/>
        <v/>
      </c>
    </row>
    <row r="926" spans="1:6" x14ac:dyDescent="0.25">
      <c r="A926" s="6"/>
      <c r="F926" s="12" t="str">
        <f t="shared" si="14"/>
        <v/>
      </c>
    </row>
    <row r="927" spans="1:6" x14ac:dyDescent="0.25">
      <c r="A927" s="6"/>
      <c r="F927" s="12" t="str">
        <f t="shared" si="14"/>
        <v/>
      </c>
    </row>
    <row r="928" spans="1:6" x14ac:dyDescent="0.25">
      <c r="A928" s="6"/>
      <c r="F928" s="12" t="str">
        <f t="shared" si="14"/>
        <v/>
      </c>
    </row>
    <row r="929" spans="1:6" x14ac:dyDescent="0.25">
      <c r="A929" s="6"/>
      <c r="F929" s="12" t="str">
        <f t="shared" si="14"/>
        <v/>
      </c>
    </row>
    <row r="930" spans="1:6" x14ac:dyDescent="0.25">
      <c r="A930" s="6"/>
      <c r="F930" s="12" t="str">
        <f t="shared" si="14"/>
        <v/>
      </c>
    </row>
    <row r="931" spans="1:6" x14ac:dyDescent="0.25">
      <c r="A931" s="6"/>
      <c r="F931" s="12" t="str">
        <f t="shared" si="14"/>
        <v/>
      </c>
    </row>
    <row r="932" spans="1:6" x14ac:dyDescent="0.25">
      <c r="A932" s="6"/>
      <c r="F932" s="12" t="str">
        <f t="shared" si="14"/>
        <v/>
      </c>
    </row>
    <row r="933" spans="1:6" x14ac:dyDescent="0.25">
      <c r="A933" s="6"/>
      <c r="F933" s="12" t="str">
        <f t="shared" si="14"/>
        <v/>
      </c>
    </row>
    <row r="934" spans="1:6" x14ac:dyDescent="0.25">
      <c r="A934" s="6"/>
      <c r="F934" s="12" t="str">
        <f t="shared" si="14"/>
        <v/>
      </c>
    </row>
    <row r="935" spans="1:6" x14ac:dyDescent="0.25">
      <c r="A935" s="6"/>
      <c r="F935" s="12" t="str">
        <f t="shared" si="14"/>
        <v/>
      </c>
    </row>
    <row r="936" spans="1:6" x14ac:dyDescent="0.25">
      <c r="A936" s="6"/>
      <c r="F936" s="12" t="str">
        <f t="shared" si="14"/>
        <v/>
      </c>
    </row>
    <row r="937" spans="1:6" x14ac:dyDescent="0.25">
      <c r="A937" s="6"/>
      <c r="F937" s="12" t="str">
        <f t="shared" si="14"/>
        <v/>
      </c>
    </row>
    <row r="938" spans="1:6" x14ac:dyDescent="0.25">
      <c r="A938" s="6"/>
      <c r="F938" s="12" t="str">
        <f t="shared" si="14"/>
        <v/>
      </c>
    </row>
    <row r="939" spans="1:6" x14ac:dyDescent="0.25">
      <c r="A939" s="6"/>
      <c r="F939" s="12" t="str">
        <f t="shared" si="14"/>
        <v/>
      </c>
    </row>
    <row r="940" spans="1:6" x14ac:dyDescent="0.25">
      <c r="A940" s="6"/>
      <c r="F940" s="12" t="str">
        <f t="shared" si="14"/>
        <v/>
      </c>
    </row>
    <row r="941" spans="1:6" x14ac:dyDescent="0.25">
      <c r="A941" s="6"/>
      <c r="F941" s="12" t="str">
        <f t="shared" si="14"/>
        <v/>
      </c>
    </row>
    <row r="942" spans="1:6" x14ac:dyDescent="0.25">
      <c r="A942" s="6"/>
      <c r="F942" s="12" t="str">
        <f t="shared" si="14"/>
        <v/>
      </c>
    </row>
    <row r="943" spans="1:6" x14ac:dyDescent="0.25">
      <c r="A943" s="6"/>
      <c r="F943" s="12" t="str">
        <f t="shared" si="14"/>
        <v/>
      </c>
    </row>
    <row r="944" spans="1:6" x14ac:dyDescent="0.25">
      <c r="A944" s="6"/>
      <c r="F944" s="12" t="str">
        <f t="shared" si="14"/>
        <v/>
      </c>
    </row>
    <row r="945" spans="1:6" x14ac:dyDescent="0.25">
      <c r="A945" s="6"/>
      <c r="F945" s="12" t="str">
        <f t="shared" si="14"/>
        <v/>
      </c>
    </row>
    <row r="946" spans="1:6" x14ac:dyDescent="0.25">
      <c r="A946" s="6"/>
      <c r="F946" s="12" t="str">
        <f t="shared" si="14"/>
        <v/>
      </c>
    </row>
    <row r="947" spans="1:6" x14ac:dyDescent="0.25">
      <c r="A947" s="6"/>
      <c r="F947" s="12" t="str">
        <f t="shared" si="14"/>
        <v/>
      </c>
    </row>
    <row r="948" spans="1:6" x14ac:dyDescent="0.25">
      <c r="A948" s="6"/>
      <c r="F948" s="12" t="str">
        <f t="shared" si="14"/>
        <v/>
      </c>
    </row>
    <row r="949" spans="1:6" x14ac:dyDescent="0.25">
      <c r="A949" s="6"/>
      <c r="F949" s="12" t="str">
        <f t="shared" si="14"/>
        <v/>
      </c>
    </row>
    <row r="950" spans="1:6" x14ac:dyDescent="0.25">
      <c r="A950" s="6"/>
      <c r="F950" s="12" t="str">
        <f t="shared" si="14"/>
        <v/>
      </c>
    </row>
    <row r="951" spans="1:6" x14ac:dyDescent="0.25">
      <c r="A951" s="6"/>
      <c r="F951" s="12" t="str">
        <f t="shared" si="14"/>
        <v/>
      </c>
    </row>
    <row r="952" spans="1:6" x14ac:dyDescent="0.25">
      <c r="A952" s="6"/>
      <c r="F952" s="12" t="str">
        <f t="shared" si="14"/>
        <v/>
      </c>
    </row>
    <row r="953" spans="1:6" x14ac:dyDescent="0.25">
      <c r="A953" s="6"/>
      <c r="F953" s="12" t="str">
        <f t="shared" si="14"/>
        <v/>
      </c>
    </row>
    <row r="954" spans="1:6" x14ac:dyDescent="0.25">
      <c r="A954" s="6"/>
      <c r="F954" s="12" t="str">
        <f t="shared" si="14"/>
        <v/>
      </c>
    </row>
    <row r="955" spans="1:6" x14ac:dyDescent="0.25">
      <c r="A955" s="6"/>
      <c r="F955" s="12" t="str">
        <f t="shared" si="14"/>
        <v/>
      </c>
    </row>
    <row r="956" spans="1:6" x14ac:dyDescent="0.25">
      <c r="A956" s="6"/>
      <c r="F956" s="12" t="str">
        <f t="shared" si="14"/>
        <v/>
      </c>
    </row>
    <row r="957" spans="1:6" x14ac:dyDescent="0.25">
      <c r="A957" s="6"/>
      <c r="F957" s="12" t="str">
        <f t="shared" si="14"/>
        <v/>
      </c>
    </row>
    <row r="958" spans="1:6" x14ac:dyDescent="0.25">
      <c r="A958" s="6"/>
      <c r="F958" s="12" t="str">
        <f t="shared" si="14"/>
        <v/>
      </c>
    </row>
    <row r="959" spans="1:6" x14ac:dyDescent="0.25">
      <c r="A959" s="6"/>
      <c r="F959" s="12" t="str">
        <f t="shared" si="14"/>
        <v/>
      </c>
    </row>
    <row r="960" spans="1:6" x14ac:dyDescent="0.25">
      <c r="A960" s="6"/>
      <c r="F960" s="12" t="str">
        <f t="shared" si="14"/>
        <v/>
      </c>
    </row>
    <row r="961" spans="1:6" x14ac:dyDescent="0.25">
      <c r="A961" s="6"/>
      <c r="F961" s="12" t="str">
        <f t="shared" si="14"/>
        <v/>
      </c>
    </row>
    <row r="962" spans="1:6" x14ac:dyDescent="0.25">
      <c r="A962" s="6"/>
      <c r="F962" s="12" t="str">
        <f t="shared" si="14"/>
        <v/>
      </c>
    </row>
    <row r="963" spans="1:6" x14ac:dyDescent="0.25">
      <c r="A963" s="6"/>
      <c r="F963" s="12" t="str">
        <f t="shared" ref="F963:F1026" si="15">IF((D963*E963)=0, "", D963*E963)</f>
        <v/>
      </c>
    </row>
    <row r="964" spans="1:6" x14ac:dyDescent="0.25">
      <c r="A964" s="6"/>
      <c r="F964" s="12" t="str">
        <f t="shared" si="15"/>
        <v/>
      </c>
    </row>
    <row r="965" spans="1:6" x14ac:dyDescent="0.25">
      <c r="A965" s="6"/>
      <c r="F965" s="12" t="str">
        <f t="shared" si="15"/>
        <v/>
      </c>
    </row>
    <row r="966" spans="1:6" x14ac:dyDescent="0.25">
      <c r="A966" s="6"/>
      <c r="F966" s="12" t="str">
        <f t="shared" si="15"/>
        <v/>
      </c>
    </row>
    <row r="967" spans="1:6" x14ac:dyDescent="0.25">
      <c r="A967" s="6"/>
      <c r="F967" s="12" t="str">
        <f t="shared" si="15"/>
        <v/>
      </c>
    </row>
    <row r="968" spans="1:6" x14ac:dyDescent="0.25">
      <c r="A968" s="6"/>
      <c r="F968" s="12" t="str">
        <f t="shared" si="15"/>
        <v/>
      </c>
    </row>
    <row r="969" spans="1:6" x14ac:dyDescent="0.25">
      <c r="A969" s="6"/>
      <c r="F969" s="12" t="str">
        <f t="shared" si="15"/>
        <v/>
      </c>
    </row>
    <row r="970" spans="1:6" x14ac:dyDescent="0.25">
      <c r="A970" s="6"/>
      <c r="F970" s="12" t="str">
        <f t="shared" si="15"/>
        <v/>
      </c>
    </row>
    <row r="971" spans="1:6" x14ac:dyDescent="0.25">
      <c r="A971" s="6"/>
      <c r="F971" s="12" t="str">
        <f t="shared" si="15"/>
        <v/>
      </c>
    </row>
    <row r="972" spans="1:6" x14ac:dyDescent="0.25">
      <c r="A972" s="6"/>
      <c r="F972" s="12" t="str">
        <f t="shared" si="15"/>
        <v/>
      </c>
    </row>
    <row r="973" spans="1:6" x14ac:dyDescent="0.25">
      <c r="A973" s="6"/>
      <c r="F973" s="12" t="str">
        <f t="shared" si="15"/>
        <v/>
      </c>
    </row>
    <row r="974" spans="1:6" x14ac:dyDescent="0.25">
      <c r="A974" s="6"/>
      <c r="F974" s="12" t="str">
        <f t="shared" si="15"/>
        <v/>
      </c>
    </row>
    <row r="975" spans="1:6" x14ac:dyDescent="0.25">
      <c r="A975" s="6"/>
      <c r="F975" s="12" t="str">
        <f t="shared" si="15"/>
        <v/>
      </c>
    </row>
    <row r="976" spans="1:6" x14ac:dyDescent="0.25">
      <c r="A976" s="6"/>
      <c r="F976" s="12" t="str">
        <f t="shared" si="15"/>
        <v/>
      </c>
    </row>
    <row r="977" spans="1:6" x14ac:dyDescent="0.25">
      <c r="A977" s="6"/>
      <c r="F977" s="12" t="str">
        <f t="shared" si="15"/>
        <v/>
      </c>
    </row>
    <row r="978" spans="1:6" x14ac:dyDescent="0.25">
      <c r="A978" s="6"/>
      <c r="F978" s="12" t="str">
        <f t="shared" si="15"/>
        <v/>
      </c>
    </row>
    <row r="979" spans="1:6" x14ac:dyDescent="0.25">
      <c r="A979" s="6"/>
      <c r="F979" s="12" t="str">
        <f t="shared" si="15"/>
        <v/>
      </c>
    </row>
    <row r="980" spans="1:6" x14ac:dyDescent="0.25">
      <c r="A980" s="6"/>
      <c r="F980" s="12" t="str">
        <f t="shared" si="15"/>
        <v/>
      </c>
    </row>
    <row r="981" spans="1:6" x14ac:dyDescent="0.25">
      <c r="A981" s="6"/>
      <c r="F981" s="12" t="str">
        <f t="shared" si="15"/>
        <v/>
      </c>
    </row>
    <row r="982" spans="1:6" x14ac:dyDescent="0.25">
      <c r="A982" s="6"/>
      <c r="F982" s="12" t="str">
        <f t="shared" si="15"/>
        <v/>
      </c>
    </row>
    <row r="983" spans="1:6" x14ac:dyDescent="0.25">
      <c r="A983" s="6"/>
      <c r="F983" s="12" t="str">
        <f t="shared" si="15"/>
        <v/>
      </c>
    </row>
    <row r="984" spans="1:6" x14ac:dyDescent="0.25">
      <c r="A984" s="6"/>
      <c r="F984" s="12" t="str">
        <f t="shared" si="15"/>
        <v/>
      </c>
    </row>
    <row r="985" spans="1:6" x14ac:dyDescent="0.25">
      <c r="A985" s="6"/>
      <c r="F985" s="12" t="str">
        <f t="shared" si="15"/>
        <v/>
      </c>
    </row>
    <row r="986" spans="1:6" x14ac:dyDescent="0.25">
      <c r="A986" s="6"/>
      <c r="F986" s="12" t="str">
        <f t="shared" si="15"/>
        <v/>
      </c>
    </row>
    <row r="987" spans="1:6" x14ac:dyDescent="0.25">
      <c r="A987" s="6"/>
      <c r="F987" s="12" t="str">
        <f t="shared" si="15"/>
        <v/>
      </c>
    </row>
    <row r="988" spans="1:6" x14ac:dyDescent="0.25">
      <c r="A988" s="6"/>
      <c r="F988" s="12" t="str">
        <f t="shared" si="15"/>
        <v/>
      </c>
    </row>
    <row r="989" spans="1:6" x14ac:dyDescent="0.25">
      <c r="A989" s="6"/>
      <c r="F989" s="12" t="str">
        <f t="shared" si="15"/>
        <v/>
      </c>
    </row>
    <row r="990" spans="1:6" x14ac:dyDescent="0.25">
      <c r="A990" s="6"/>
      <c r="F990" s="12" t="str">
        <f t="shared" si="15"/>
        <v/>
      </c>
    </row>
    <row r="991" spans="1:6" x14ac:dyDescent="0.25">
      <c r="A991" s="6"/>
      <c r="F991" s="12" t="str">
        <f t="shared" si="15"/>
        <v/>
      </c>
    </row>
    <row r="992" spans="1:6" x14ac:dyDescent="0.25">
      <c r="A992" s="6"/>
      <c r="F992" s="12" t="str">
        <f t="shared" si="15"/>
        <v/>
      </c>
    </row>
    <row r="993" spans="1:6" x14ac:dyDescent="0.25">
      <c r="A993" s="6"/>
      <c r="F993" s="12" t="str">
        <f t="shared" si="15"/>
        <v/>
      </c>
    </row>
    <row r="994" spans="1:6" x14ac:dyDescent="0.25">
      <c r="A994" s="6"/>
      <c r="F994" s="12" t="str">
        <f t="shared" si="15"/>
        <v/>
      </c>
    </row>
    <row r="995" spans="1:6" x14ac:dyDescent="0.25">
      <c r="A995" s="6"/>
      <c r="F995" s="12" t="str">
        <f t="shared" si="15"/>
        <v/>
      </c>
    </row>
    <row r="996" spans="1:6" x14ac:dyDescent="0.25">
      <c r="A996" s="6"/>
      <c r="F996" s="12" t="str">
        <f t="shared" si="15"/>
        <v/>
      </c>
    </row>
    <row r="997" spans="1:6" x14ac:dyDescent="0.25">
      <c r="A997" s="6"/>
      <c r="F997" s="12" t="str">
        <f t="shared" si="15"/>
        <v/>
      </c>
    </row>
    <row r="998" spans="1:6" x14ac:dyDescent="0.25">
      <c r="A998" s="6"/>
      <c r="F998" s="12" t="str">
        <f t="shared" si="15"/>
        <v/>
      </c>
    </row>
    <row r="999" spans="1:6" x14ac:dyDescent="0.25">
      <c r="A999" s="6"/>
      <c r="F999" s="12" t="str">
        <f t="shared" si="15"/>
        <v/>
      </c>
    </row>
    <row r="1000" spans="1:6" x14ac:dyDescent="0.25">
      <c r="A1000" s="6"/>
      <c r="F1000" s="12" t="str">
        <f t="shared" si="15"/>
        <v/>
      </c>
    </row>
    <row r="1001" spans="1:6" x14ac:dyDescent="0.25">
      <c r="A1001" s="6"/>
      <c r="F1001" s="12" t="str">
        <f t="shared" si="15"/>
        <v/>
      </c>
    </row>
    <row r="1002" spans="1:6" x14ac:dyDescent="0.25">
      <c r="A1002" s="6"/>
      <c r="F1002" s="12" t="str">
        <f t="shared" si="15"/>
        <v/>
      </c>
    </row>
    <row r="1003" spans="1:6" x14ac:dyDescent="0.25">
      <c r="A1003" s="6"/>
      <c r="F1003" s="12" t="str">
        <f t="shared" si="15"/>
        <v/>
      </c>
    </row>
    <row r="1004" spans="1:6" x14ac:dyDescent="0.25">
      <c r="A1004" s="6"/>
      <c r="F1004" s="12" t="str">
        <f t="shared" si="15"/>
        <v/>
      </c>
    </row>
    <row r="1005" spans="1:6" x14ac:dyDescent="0.25">
      <c r="A1005" s="6"/>
      <c r="F1005" s="12" t="str">
        <f t="shared" si="15"/>
        <v/>
      </c>
    </row>
    <row r="1006" spans="1:6" x14ac:dyDescent="0.25">
      <c r="A1006" s="6"/>
      <c r="F1006" s="12" t="str">
        <f t="shared" si="15"/>
        <v/>
      </c>
    </row>
    <row r="1007" spans="1:6" x14ac:dyDescent="0.25">
      <c r="A1007" s="6"/>
      <c r="F1007" s="12" t="str">
        <f t="shared" si="15"/>
        <v/>
      </c>
    </row>
    <row r="1008" spans="1:6" x14ac:dyDescent="0.25">
      <c r="A1008" s="6"/>
      <c r="F1008" s="12" t="str">
        <f t="shared" si="15"/>
        <v/>
      </c>
    </row>
    <row r="1009" spans="1:6" x14ac:dyDescent="0.25">
      <c r="A1009" s="6"/>
      <c r="F1009" s="12" t="str">
        <f t="shared" si="15"/>
        <v/>
      </c>
    </row>
    <row r="1010" spans="1:6" x14ac:dyDescent="0.25">
      <c r="A1010" s="6"/>
      <c r="F1010" s="12" t="str">
        <f t="shared" si="15"/>
        <v/>
      </c>
    </row>
    <row r="1011" spans="1:6" x14ac:dyDescent="0.25">
      <c r="A1011" s="6"/>
      <c r="F1011" s="12" t="str">
        <f t="shared" si="15"/>
        <v/>
      </c>
    </row>
    <row r="1012" spans="1:6" x14ac:dyDescent="0.25">
      <c r="A1012" s="6"/>
      <c r="F1012" s="12" t="str">
        <f t="shared" si="15"/>
        <v/>
      </c>
    </row>
    <row r="1013" spans="1:6" x14ac:dyDescent="0.25">
      <c r="A1013" s="6"/>
      <c r="F1013" s="12" t="str">
        <f t="shared" si="15"/>
        <v/>
      </c>
    </row>
    <row r="1014" spans="1:6" x14ac:dyDescent="0.25">
      <c r="A1014" s="6"/>
      <c r="F1014" s="12" t="str">
        <f t="shared" si="15"/>
        <v/>
      </c>
    </row>
    <row r="1015" spans="1:6" x14ac:dyDescent="0.25">
      <c r="A1015" s="6"/>
      <c r="F1015" s="12" t="str">
        <f t="shared" si="15"/>
        <v/>
      </c>
    </row>
    <row r="1016" spans="1:6" x14ac:dyDescent="0.25">
      <c r="A1016" s="6"/>
      <c r="F1016" s="12" t="str">
        <f t="shared" si="15"/>
        <v/>
      </c>
    </row>
    <row r="1017" spans="1:6" x14ac:dyDescent="0.25">
      <c r="A1017" s="6"/>
      <c r="F1017" s="12" t="str">
        <f t="shared" si="15"/>
        <v/>
      </c>
    </row>
    <row r="1018" spans="1:6" x14ac:dyDescent="0.25">
      <c r="A1018" s="6"/>
      <c r="F1018" s="12" t="str">
        <f t="shared" si="15"/>
        <v/>
      </c>
    </row>
    <row r="1019" spans="1:6" x14ac:dyDescent="0.25">
      <c r="A1019" s="6"/>
      <c r="F1019" s="12" t="str">
        <f t="shared" si="15"/>
        <v/>
      </c>
    </row>
    <row r="1020" spans="1:6" x14ac:dyDescent="0.25">
      <c r="A1020" s="6"/>
      <c r="F1020" s="12" t="str">
        <f t="shared" si="15"/>
        <v/>
      </c>
    </row>
    <row r="1021" spans="1:6" x14ac:dyDescent="0.25">
      <c r="A1021" s="6"/>
      <c r="F1021" s="12" t="str">
        <f t="shared" si="15"/>
        <v/>
      </c>
    </row>
    <row r="1022" spans="1:6" x14ac:dyDescent="0.25">
      <c r="A1022" s="6"/>
      <c r="F1022" s="12" t="str">
        <f t="shared" si="15"/>
        <v/>
      </c>
    </row>
    <row r="1023" spans="1:6" x14ac:dyDescent="0.25">
      <c r="A1023" s="6"/>
      <c r="F1023" s="12" t="str">
        <f t="shared" si="15"/>
        <v/>
      </c>
    </row>
    <row r="1024" spans="1:6" x14ac:dyDescent="0.25">
      <c r="A1024" s="6"/>
      <c r="F1024" s="12" t="str">
        <f t="shared" si="15"/>
        <v/>
      </c>
    </row>
    <row r="1025" spans="1:6" x14ac:dyDescent="0.25">
      <c r="A1025" s="6"/>
      <c r="F1025" s="12" t="str">
        <f t="shared" si="15"/>
        <v/>
      </c>
    </row>
    <row r="1026" spans="1:6" x14ac:dyDescent="0.25">
      <c r="A1026" s="6"/>
      <c r="F1026" s="12" t="str">
        <f t="shared" si="15"/>
        <v/>
      </c>
    </row>
    <row r="1027" spans="1:6" x14ac:dyDescent="0.25">
      <c r="A1027" s="6"/>
      <c r="F1027" s="12" t="str">
        <f t="shared" ref="F1027:F1090" si="16">IF((D1027*E1027)=0, "", D1027*E1027)</f>
        <v/>
      </c>
    </row>
    <row r="1028" spans="1:6" x14ac:dyDescent="0.25">
      <c r="A1028" s="6"/>
      <c r="F1028" s="12" t="str">
        <f t="shared" si="16"/>
        <v/>
      </c>
    </row>
    <row r="1029" spans="1:6" x14ac:dyDescent="0.25">
      <c r="A1029" s="6"/>
      <c r="F1029" s="12" t="str">
        <f t="shared" si="16"/>
        <v/>
      </c>
    </row>
    <row r="1030" spans="1:6" x14ac:dyDescent="0.25">
      <c r="A1030" s="6"/>
      <c r="F1030" s="12" t="str">
        <f t="shared" si="16"/>
        <v/>
      </c>
    </row>
    <row r="1031" spans="1:6" x14ac:dyDescent="0.25">
      <c r="A1031" s="6"/>
      <c r="F1031" s="12" t="str">
        <f t="shared" si="16"/>
        <v/>
      </c>
    </row>
    <row r="1032" spans="1:6" x14ac:dyDescent="0.25">
      <c r="A1032" s="6"/>
      <c r="F1032" s="12" t="str">
        <f t="shared" si="16"/>
        <v/>
      </c>
    </row>
    <row r="1033" spans="1:6" x14ac:dyDescent="0.25">
      <c r="A1033" s="6"/>
      <c r="F1033" s="12" t="str">
        <f t="shared" si="16"/>
        <v/>
      </c>
    </row>
    <row r="1034" spans="1:6" x14ac:dyDescent="0.25">
      <c r="A1034" s="6"/>
      <c r="F1034" s="12" t="str">
        <f t="shared" si="16"/>
        <v/>
      </c>
    </row>
    <row r="1035" spans="1:6" x14ac:dyDescent="0.25">
      <c r="A1035" s="6"/>
      <c r="F1035" s="12" t="str">
        <f t="shared" si="16"/>
        <v/>
      </c>
    </row>
    <row r="1036" spans="1:6" x14ac:dyDescent="0.25">
      <c r="A1036" s="6"/>
      <c r="F1036" s="12" t="str">
        <f t="shared" si="16"/>
        <v/>
      </c>
    </row>
    <row r="1037" spans="1:6" x14ac:dyDescent="0.25">
      <c r="A1037" s="6"/>
      <c r="F1037" s="12" t="str">
        <f t="shared" si="16"/>
        <v/>
      </c>
    </row>
    <row r="1038" spans="1:6" x14ac:dyDescent="0.25">
      <c r="A1038" s="6"/>
      <c r="F1038" s="12" t="str">
        <f t="shared" si="16"/>
        <v/>
      </c>
    </row>
    <row r="1039" spans="1:6" x14ac:dyDescent="0.25">
      <c r="A1039" s="6"/>
      <c r="F1039" s="12" t="str">
        <f t="shared" si="16"/>
        <v/>
      </c>
    </row>
    <row r="1040" spans="1:6" x14ac:dyDescent="0.25">
      <c r="A1040" s="6"/>
      <c r="F1040" s="12" t="str">
        <f t="shared" si="16"/>
        <v/>
      </c>
    </row>
    <row r="1041" spans="1:6" x14ac:dyDescent="0.25">
      <c r="A1041" s="6"/>
      <c r="F1041" s="12" t="str">
        <f t="shared" si="16"/>
        <v/>
      </c>
    </row>
    <row r="1042" spans="1:6" x14ac:dyDescent="0.25">
      <c r="A1042" s="6"/>
      <c r="F1042" s="12" t="str">
        <f t="shared" si="16"/>
        <v/>
      </c>
    </row>
    <row r="1043" spans="1:6" x14ac:dyDescent="0.25">
      <c r="A1043" s="6"/>
      <c r="F1043" s="12" t="str">
        <f t="shared" si="16"/>
        <v/>
      </c>
    </row>
    <row r="1044" spans="1:6" x14ac:dyDescent="0.25">
      <c r="A1044" s="6"/>
      <c r="F1044" s="12" t="str">
        <f t="shared" si="16"/>
        <v/>
      </c>
    </row>
    <row r="1045" spans="1:6" x14ac:dyDescent="0.25">
      <c r="A1045" s="6"/>
      <c r="F1045" s="12" t="str">
        <f t="shared" si="16"/>
        <v/>
      </c>
    </row>
    <row r="1046" spans="1:6" x14ac:dyDescent="0.25">
      <c r="A1046" s="6"/>
      <c r="F1046" s="12" t="str">
        <f t="shared" si="16"/>
        <v/>
      </c>
    </row>
    <row r="1047" spans="1:6" x14ac:dyDescent="0.25">
      <c r="A1047" s="6"/>
      <c r="F1047" s="12" t="str">
        <f t="shared" si="16"/>
        <v/>
      </c>
    </row>
    <row r="1048" spans="1:6" x14ac:dyDescent="0.25">
      <c r="A1048" s="6"/>
      <c r="F1048" s="12" t="str">
        <f t="shared" si="16"/>
        <v/>
      </c>
    </row>
    <row r="1049" spans="1:6" x14ac:dyDescent="0.25">
      <c r="A1049" s="6"/>
      <c r="F1049" s="12" t="str">
        <f t="shared" si="16"/>
        <v/>
      </c>
    </row>
    <row r="1050" spans="1:6" x14ac:dyDescent="0.25">
      <c r="A1050" s="6"/>
      <c r="F1050" s="12" t="str">
        <f t="shared" si="16"/>
        <v/>
      </c>
    </row>
    <row r="1051" spans="1:6" x14ac:dyDescent="0.25">
      <c r="A1051" s="6"/>
      <c r="F1051" s="12" t="str">
        <f t="shared" si="16"/>
        <v/>
      </c>
    </row>
    <row r="1052" spans="1:6" x14ac:dyDescent="0.25">
      <c r="A1052" s="6"/>
      <c r="F1052" s="12" t="str">
        <f t="shared" si="16"/>
        <v/>
      </c>
    </row>
    <row r="1053" spans="1:6" x14ac:dyDescent="0.25">
      <c r="A1053" s="6"/>
      <c r="F1053" s="12" t="str">
        <f t="shared" si="16"/>
        <v/>
      </c>
    </row>
    <row r="1054" spans="1:6" x14ac:dyDescent="0.25">
      <c r="A1054" s="6"/>
      <c r="F1054" s="12" t="str">
        <f t="shared" si="16"/>
        <v/>
      </c>
    </row>
    <row r="1055" spans="1:6" x14ac:dyDescent="0.25">
      <c r="A1055" s="6"/>
      <c r="F1055" s="12" t="str">
        <f t="shared" si="16"/>
        <v/>
      </c>
    </row>
    <row r="1056" spans="1:6" x14ac:dyDescent="0.25">
      <c r="A1056" s="6"/>
      <c r="F1056" s="12" t="str">
        <f t="shared" si="16"/>
        <v/>
      </c>
    </row>
    <row r="1057" spans="1:6" x14ac:dyDescent="0.25">
      <c r="A1057" s="6"/>
      <c r="F1057" s="12" t="str">
        <f t="shared" si="16"/>
        <v/>
      </c>
    </row>
    <row r="1058" spans="1:6" x14ac:dyDescent="0.25">
      <c r="A1058" s="6"/>
      <c r="F1058" s="12" t="str">
        <f t="shared" si="16"/>
        <v/>
      </c>
    </row>
    <row r="1059" spans="1:6" x14ac:dyDescent="0.25">
      <c r="A1059" s="6"/>
      <c r="F1059" s="12" t="str">
        <f t="shared" si="16"/>
        <v/>
      </c>
    </row>
    <row r="1060" spans="1:6" x14ac:dyDescent="0.25">
      <c r="A1060" s="6"/>
      <c r="F1060" s="12" t="str">
        <f t="shared" si="16"/>
        <v/>
      </c>
    </row>
    <row r="1061" spans="1:6" x14ac:dyDescent="0.25">
      <c r="A1061" s="6"/>
      <c r="F1061" s="12" t="str">
        <f t="shared" si="16"/>
        <v/>
      </c>
    </row>
    <row r="1062" spans="1:6" x14ac:dyDescent="0.25">
      <c r="A1062" s="6"/>
      <c r="F1062" s="12" t="str">
        <f t="shared" si="16"/>
        <v/>
      </c>
    </row>
    <row r="1063" spans="1:6" x14ac:dyDescent="0.25">
      <c r="A1063" s="6"/>
      <c r="F1063" s="12" t="str">
        <f t="shared" si="16"/>
        <v/>
      </c>
    </row>
    <row r="1064" spans="1:6" x14ac:dyDescent="0.25">
      <c r="A1064" s="6"/>
      <c r="F1064" s="12" t="str">
        <f t="shared" si="16"/>
        <v/>
      </c>
    </row>
    <row r="1065" spans="1:6" x14ac:dyDescent="0.25">
      <c r="A1065" s="6"/>
      <c r="F1065" s="12" t="str">
        <f t="shared" si="16"/>
        <v/>
      </c>
    </row>
    <row r="1066" spans="1:6" x14ac:dyDescent="0.25">
      <c r="A1066" s="6"/>
      <c r="F1066" s="12" t="str">
        <f t="shared" si="16"/>
        <v/>
      </c>
    </row>
    <row r="1067" spans="1:6" x14ac:dyDescent="0.25">
      <c r="A1067" s="6"/>
      <c r="F1067" s="12" t="str">
        <f t="shared" si="16"/>
        <v/>
      </c>
    </row>
    <row r="1068" spans="1:6" x14ac:dyDescent="0.25">
      <c r="A1068" s="6"/>
      <c r="F1068" s="12" t="str">
        <f t="shared" si="16"/>
        <v/>
      </c>
    </row>
    <row r="1069" spans="1:6" x14ac:dyDescent="0.25">
      <c r="A1069" s="6"/>
      <c r="F1069" s="12" t="str">
        <f t="shared" si="16"/>
        <v/>
      </c>
    </row>
    <row r="1070" spans="1:6" x14ac:dyDescent="0.25">
      <c r="A1070" s="6"/>
      <c r="F1070" s="12" t="str">
        <f t="shared" si="16"/>
        <v/>
      </c>
    </row>
    <row r="1071" spans="1:6" x14ac:dyDescent="0.25">
      <c r="A1071" s="6"/>
      <c r="F1071" s="12" t="str">
        <f t="shared" si="16"/>
        <v/>
      </c>
    </row>
    <row r="1072" spans="1:6" x14ac:dyDescent="0.25">
      <c r="A1072" s="6"/>
      <c r="F1072" s="12" t="str">
        <f t="shared" si="16"/>
        <v/>
      </c>
    </row>
    <row r="1073" spans="1:6" x14ac:dyDescent="0.25">
      <c r="A1073" s="6"/>
      <c r="F1073" s="12" t="str">
        <f t="shared" si="16"/>
        <v/>
      </c>
    </row>
    <row r="1074" spans="1:6" x14ac:dyDescent="0.25">
      <c r="A1074" s="6"/>
      <c r="F1074" s="12" t="str">
        <f t="shared" si="16"/>
        <v/>
      </c>
    </row>
    <row r="1075" spans="1:6" x14ac:dyDescent="0.25">
      <c r="A1075" s="6"/>
      <c r="F1075" s="12" t="str">
        <f t="shared" si="16"/>
        <v/>
      </c>
    </row>
    <row r="1076" spans="1:6" x14ac:dyDescent="0.25">
      <c r="A1076" s="6"/>
      <c r="F1076" s="12" t="str">
        <f t="shared" si="16"/>
        <v/>
      </c>
    </row>
    <row r="1077" spans="1:6" x14ac:dyDescent="0.25">
      <c r="A1077" s="6"/>
      <c r="F1077" s="12" t="str">
        <f t="shared" si="16"/>
        <v/>
      </c>
    </row>
    <row r="1078" spans="1:6" x14ac:dyDescent="0.25">
      <c r="A1078" s="6"/>
      <c r="F1078" s="12" t="str">
        <f t="shared" si="16"/>
        <v/>
      </c>
    </row>
    <row r="1079" spans="1:6" x14ac:dyDescent="0.25">
      <c r="A1079" s="6"/>
      <c r="F1079" s="12" t="str">
        <f t="shared" si="16"/>
        <v/>
      </c>
    </row>
    <row r="1080" spans="1:6" x14ac:dyDescent="0.25">
      <c r="A1080" s="6"/>
      <c r="F1080" s="12" t="str">
        <f t="shared" si="16"/>
        <v/>
      </c>
    </row>
    <row r="1081" spans="1:6" x14ac:dyDescent="0.25">
      <c r="A1081" s="6"/>
      <c r="F1081" s="12" t="str">
        <f t="shared" si="16"/>
        <v/>
      </c>
    </row>
    <row r="1082" spans="1:6" x14ac:dyDescent="0.25">
      <c r="A1082" s="6"/>
      <c r="F1082" s="12" t="str">
        <f t="shared" si="16"/>
        <v/>
      </c>
    </row>
    <row r="1083" spans="1:6" x14ac:dyDescent="0.25">
      <c r="A1083" s="6"/>
      <c r="F1083" s="12" t="str">
        <f t="shared" si="16"/>
        <v/>
      </c>
    </row>
    <row r="1084" spans="1:6" x14ac:dyDescent="0.25">
      <c r="A1084" s="6"/>
      <c r="F1084" s="12" t="str">
        <f t="shared" si="16"/>
        <v/>
      </c>
    </row>
    <row r="1085" spans="1:6" x14ac:dyDescent="0.25">
      <c r="A1085" s="6"/>
      <c r="F1085" s="12" t="str">
        <f t="shared" si="16"/>
        <v/>
      </c>
    </row>
    <row r="1086" spans="1:6" x14ac:dyDescent="0.25">
      <c r="A1086" s="6"/>
      <c r="F1086" s="12" t="str">
        <f t="shared" si="16"/>
        <v/>
      </c>
    </row>
    <row r="1087" spans="1:6" x14ac:dyDescent="0.25">
      <c r="A1087" s="6"/>
      <c r="F1087" s="12" t="str">
        <f t="shared" si="16"/>
        <v/>
      </c>
    </row>
    <row r="1088" spans="1:6" x14ac:dyDescent="0.25">
      <c r="A1088" s="6"/>
      <c r="F1088" s="12" t="str">
        <f t="shared" si="16"/>
        <v/>
      </c>
    </row>
    <row r="1089" spans="1:6" x14ac:dyDescent="0.25">
      <c r="A1089" s="6"/>
      <c r="F1089" s="12" t="str">
        <f t="shared" si="16"/>
        <v/>
      </c>
    </row>
    <row r="1090" spans="1:6" x14ac:dyDescent="0.25">
      <c r="A1090" s="6"/>
      <c r="F1090" s="12" t="str">
        <f t="shared" si="16"/>
        <v/>
      </c>
    </row>
    <row r="1091" spans="1:6" x14ac:dyDescent="0.25">
      <c r="A1091" s="6"/>
      <c r="F1091" s="12" t="str">
        <f t="shared" ref="F1091:F1154" si="17">IF((D1091*E1091)=0, "", D1091*E1091)</f>
        <v/>
      </c>
    </row>
    <row r="1092" spans="1:6" x14ac:dyDescent="0.25">
      <c r="A1092" s="6"/>
      <c r="F1092" s="12" t="str">
        <f t="shared" si="17"/>
        <v/>
      </c>
    </row>
    <row r="1093" spans="1:6" x14ac:dyDescent="0.25">
      <c r="A1093" s="6"/>
      <c r="F1093" s="12" t="str">
        <f t="shared" si="17"/>
        <v/>
      </c>
    </row>
    <row r="1094" spans="1:6" x14ac:dyDescent="0.25">
      <c r="A1094" s="6"/>
      <c r="F1094" s="12" t="str">
        <f t="shared" si="17"/>
        <v/>
      </c>
    </row>
    <row r="1095" spans="1:6" x14ac:dyDescent="0.25">
      <c r="A1095" s="6"/>
      <c r="F1095" s="12" t="str">
        <f t="shared" si="17"/>
        <v/>
      </c>
    </row>
    <row r="1096" spans="1:6" x14ac:dyDescent="0.25">
      <c r="A1096" s="6"/>
      <c r="F1096" s="12" t="str">
        <f t="shared" si="17"/>
        <v/>
      </c>
    </row>
    <row r="1097" spans="1:6" x14ac:dyDescent="0.25">
      <c r="A1097" s="6"/>
      <c r="F1097" s="12" t="str">
        <f t="shared" si="17"/>
        <v/>
      </c>
    </row>
    <row r="1098" spans="1:6" x14ac:dyDescent="0.25">
      <c r="A1098" s="6"/>
      <c r="F1098" s="12" t="str">
        <f t="shared" si="17"/>
        <v/>
      </c>
    </row>
    <row r="1099" spans="1:6" x14ac:dyDescent="0.25">
      <c r="A1099" s="6"/>
      <c r="F1099" s="12" t="str">
        <f t="shared" si="17"/>
        <v/>
      </c>
    </row>
    <row r="1100" spans="1:6" x14ac:dyDescent="0.25">
      <c r="A1100" s="6"/>
      <c r="F1100" s="12" t="str">
        <f t="shared" si="17"/>
        <v/>
      </c>
    </row>
    <row r="1101" spans="1:6" x14ac:dyDescent="0.25">
      <c r="A1101" s="6"/>
      <c r="F1101" s="12" t="str">
        <f t="shared" si="17"/>
        <v/>
      </c>
    </row>
    <row r="1102" spans="1:6" x14ac:dyDescent="0.25">
      <c r="A1102" s="6"/>
      <c r="F1102" s="12" t="str">
        <f t="shared" si="17"/>
        <v/>
      </c>
    </row>
    <row r="1103" spans="1:6" x14ac:dyDescent="0.25">
      <c r="A1103" s="6"/>
      <c r="F1103" s="12" t="str">
        <f t="shared" si="17"/>
        <v/>
      </c>
    </row>
    <row r="1104" spans="1:6" x14ac:dyDescent="0.25">
      <c r="A1104" s="6"/>
      <c r="F1104" s="12" t="str">
        <f t="shared" si="17"/>
        <v/>
      </c>
    </row>
    <row r="1105" spans="1:6" x14ac:dyDescent="0.25">
      <c r="A1105" s="6"/>
      <c r="F1105" s="12" t="str">
        <f t="shared" si="17"/>
        <v/>
      </c>
    </row>
    <row r="1106" spans="1:6" x14ac:dyDescent="0.25">
      <c r="A1106" s="6"/>
      <c r="F1106" s="12" t="str">
        <f t="shared" si="17"/>
        <v/>
      </c>
    </row>
    <row r="1107" spans="1:6" x14ac:dyDescent="0.25">
      <c r="A1107" s="6"/>
      <c r="F1107" s="12" t="str">
        <f t="shared" si="17"/>
        <v/>
      </c>
    </row>
    <row r="1108" spans="1:6" x14ac:dyDescent="0.25">
      <c r="A1108" s="6"/>
      <c r="F1108" s="12" t="str">
        <f t="shared" si="17"/>
        <v/>
      </c>
    </row>
    <row r="1109" spans="1:6" x14ac:dyDescent="0.25">
      <c r="A1109" s="6"/>
      <c r="F1109" s="12" t="str">
        <f t="shared" si="17"/>
        <v/>
      </c>
    </row>
    <row r="1110" spans="1:6" x14ac:dyDescent="0.25">
      <c r="A1110" s="6"/>
      <c r="F1110" s="12" t="str">
        <f t="shared" si="17"/>
        <v/>
      </c>
    </row>
    <row r="1111" spans="1:6" x14ac:dyDescent="0.25">
      <c r="A1111" s="6"/>
      <c r="F1111" s="12" t="str">
        <f t="shared" si="17"/>
        <v/>
      </c>
    </row>
    <row r="1112" spans="1:6" x14ac:dyDescent="0.25">
      <c r="A1112" s="6"/>
      <c r="F1112" s="12" t="str">
        <f t="shared" si="17"/>
        <v/>
      </c>
    </row>
    <row r="1113" spans="1:6" x14ac:dyDescent="0.25">
      <c r="A1113" s="6"/>
      <c r="F1113" s="12" t="str">
        <f t="shared" si="17"/>
        <v/>
      </c>
    </row>
    <row r="1114" spans="1:6" x14ac:dyDescent="0.25">
      <c r="A1114" s="6"/>
      <c r="F1114" s="12" t="str">
        <f t="shared" si="17"/>
        <v/>
      </c>
    </row>
    <row r="1115" spans="1:6" x14ac:dyDescent="0.25">
      <c r="A1115" s="6"/>
      <c r="F1115" s="12" t="str">
        <f t="shared" si="17"/>
        <v/>
      </c>
    </row>
    <row r="1116" spans="1:6" x14ac:dyDescent="0.25">
      <c r="A1116" s="6"/>
      <c r="F1116" s="12" t="str">
        <f t="shared" si="17"/>
        <v/>
      </c>
    </row>
    <row r="1117" spans="1:6" x14ac:dyDescent="0.25">
      <c r="A1117" s="6"/>
      <c r="F1117" s="12" t="str">
        <f t="shared" si="17"/>
        <v/>
      </c>
    </row>
    <row r="1118" spans="1:6" x14ac:dyDescent="0.25">
      <c r="A1118" s="6"/>
      <c r="F1118" s="12" t="str">
        <f t="shared" si="17"/>
        <v/>
      </c>
    </row>
    <row r="1119" spans="1:6" x14ac:dyDescent="0.25">
      <c r="A1119" s="6"/>
      <c r="F1119" s="12" t="str">
        <f t="shared" si="17"/>
        <v/>
      </c>
    </row>
    <row r="1120" spans="1:6" x14ac:dyDescent="0.25">
      <c r="A1120" s="6"/>
      <c r="F1120" s="12" t="str">
        <f t="shared" si="17"/>
        <v/>
      </c>
    </row>
    <row r="1121" spans="1:6" x14ac:dyDescent="0.25">
      <c r="A1121" s="6"/>
      <c r="F1121" s="12" t="str">
        <f t="shared" si="17"/>
        <v/>
      </c>
    </row>
    <row r="1122" spans="1:6" x14ac:dyDescent="0.25">
      <c r="A1122" s="6"/>
      <c r="F1122" s="12" t="str">
        <f t="shared" si="17"/>
        <v/>
      </c>
    </row>
    <row r="1123" spans="1:6" x14ac:dyDescent="0.25">
      <c r="A1123" s="6"/>
      <c r="F1123" s="12" t="str">
        <f t="shared" si="17"/>
        <v/>
      </c>
    </row>
    <row r="1124" spans="1:6" x14ac:dyDescent="0.25">
      <c r="A1124" s="6"/>
      <c r="F1124" s="12" t="str">
        <f t="shared" si="17"/>
        <v/>
      </c>
    </row>
    <row r="1125" spans="1:6" x14ac:dyDescent="0.25">
      <c r="A1125" s="6"/>
      <c r="F1125" s="12" t="str">
        <f t="shared" si="17"/>
        <v/>
      </c>
    </row>
    <row r="1126" spans="1:6" x14ac:dyDescent="0.25">
      <c r="A1126" s="6"/>
      <c r="F1126" s="12" t="str">
        <f t="shared" si="17"/>
        <v/>
      </c>
    </row>
    <row r="1127" spans="1:6" x14ac:dyDescent="0.25">
      <c r="A1127" s="6"/>
      <c r="F1127" s="12" t="str">
        <f t="shared" si="17"/>
        <v/>
      </c>
    </row>
    <row r="1128" spans="1:6" x14ac:dyDescent="0.25">
      <c r="A1128" s="6"/>
      <c r="F1128" s="12" t="str">
        <f t="shared" si="17"/>
        <v/>
      </c>
    </row>
    <row r="1129" spans="1:6" x14ac:dyDescent="0.25">
      <c r="A1129" s="6"/>
      <c r="F1129" s="12" t="str">
        <f t="shared" si="17"/>
        <v/>
      </c>
    </row>
    <row r="1130" spans="1:6" x14ac:dyDescent="0.25">
      <c r="A1130" s="6"/>
      <c r="F1130" s="12" t="str">
        <f t="shared" si="17"/>
        <v/>
      </c>
    </row>
    <row r="1131" spans="1:6" x14ac:dyDescent="0.25">
      <c r="A1131" s="6"/>
      <c r="F1131" s="12" t="str">
        <f t="shared" si="17"/>
        <v/>
      </c>
    </row>
    <row r="1132" spans="1:6" x14ac:dyDescent="0.25">
      <c r="A1132" s="6"/>
      <c r="F1132" s="12" t="str">
        <f t="shared" si="17"/>
        <v/>
      </c>
    </row>
    <row r="1133" spans="1:6" x14ac:dyDescent="0.25">
      <c r="A1133" s="6"/>
      <c r="F1133" s="12" t="str">
        <f t="shared" si="17"/>
        <v/>
      </c>
    </row>
    <row r="1134" spans="1:6" x14ac:dyDescent="0.25">
      <c r="A1134" s="6"/>
      <c r="F1134" s="12" t="str">
        <f t="shared" si="17"/>
        <v/>
      </c>
    </row>
    <row r="1135" spans="1:6" x14ac:dyDescent="0.25">
      <c r="A1135" s="6"/>
      <c r="F1135" s="12" t="str">
        <f t="shared" si="17"/>
        <v/>
      </c>
    </row>
    <row r="1136" spans="1:6" x14ac:dyDescent="0.25">
      <c r="A1136" s="6"/>
      <c r="F1136" s="12" t="str">
        <f t="shared" si="17"/>
        <v/>
      </c>
    </row>
    <row r="1137" spans="1:6" x14ac:dyDescent="0.25">
      <c r="A1137" s="6"/>
      <c r="F1137" s="12" t="str">
        <f t="shared" si="17"/>
        <v/>
      </c>
    </row>
    <row r="1138" spans="1:6" x14ac:dyDescent="0.25">
      <c r="A1138" s="6"/>
      <c r="F1138" s="12" t="str">
        <f t="shared" si="17"/>
        <v/>
      </c>
    </row>
    <row r="1139" spans="1:6" x14ac:dyDescent="0.25">
      <c r="A1139" s="6"/>
      <c r="F1139" s="12" t="str">
        <f t="shared" si="17"/>
        <v/>
      </c>
    </row>
    <row r="1140" spans="1:6" x14ac:dyDescent="0.25">
      <c r="A1140" s="6"/>
      <c r="F1140" s="12" t="str">
        <f t="shared" si="17"/>
        <v/>
      </c>
    </row>
    <row r="1141" spans="1:6" x14ac:dyDescent="0.25">
      <c r="A1141" s="6"/>
      <c r="F1141" s="12" t="str">
        <f t="shared" si="17"/>
        <v/>
      </c>
    </row>
    <row r="1142" spans="1:6" x14ac:dyDescent="0.25">
      <c r="A1142" s="6"/>
      <c r="F1142" s="12" t="str">
        <f t="shared" si="17"/>
        <v/>
      </c>
    </row>
    <row r="1143" spans="1:6" x14ac:dyDescent="0.25">
      <c r="A1143" s="6"/>
      <c r="F1143" s="12" t="str">
        <f t="shared" si="17"/>
        <v/>
      </c>
    </row>
    <row r="1144" spans="1:6" x14ac:dyDescent="0.25">
      <c r="A1144" s="6"/>
      <c r="F1144" s="12" t="str">
        <f t="shared" si="17"/>
        <v/>
      </c>
    </row>
    <row r="1145" spans="1:6" x14ac:dyDescent="0.25">
      <c r="A1145" s="6"/>
      <c r="F1145" s="12" t="str">
        <f t="shared" si="17"/>
        <v/>
      </c>
    </row>
    <row r="1146" spans="1:6" x14ac:dyDescent="0.25">
      <c r="A1146" s="6"/>
      <c r="F1146" s="12" t="str">
        <f t="shared" si="17"/>
        <v/>
      </c>
    </row>
    <row r="1147" spans="1:6" x14ac:dyDescent="0.25">
      <c r="A1147" s="6"/>
      <c r="F1147" s="12" t="str">
        <f t="shared" si="17"/>
        <v/>
      </c>
    </row>
    <row r="1148" spans="1:6" x14ac:dyDescent="0.25">
      <c r="A1148" s="6"/>
      <c r="F1148" s="12" t="str">
        <f t="shared" si="17"/>
        <v/>
      </c>
    </row>
    <row r="1149" spans="1:6" x14ac:dyDescent="0.25">
      <c r="A1149" s="6"/>
      <c r="F1149" s="12" t="str">
        <f t="shared" si="17"/>
        <v/>
      </c>
    </row>
    <row r="1150" spans="1:6" x14ac:dyDescent="0.25">
      <c r="A1150" s="6"/>
      <c r="F1150" s="12" t="str">
        <f t="shared" si="17"/>
        <v/>
      </c>
    </row>
    <row r="1151" spans="1:6" x14ac:dyDescent="0.25">
      <c r="A1151" s="6"/>
      <c r="F1151" s="12" t="str">
        <f t="shared" si="17"/>
        <v/>
      </c>
    </row>
    <row r="1152" spans="1:6" x14ac:dyDescent="0.25">
      <c r="A1152" s="6"/>
      <c r="F1152" s="12" t="str">
        <f t="shared" si="17"/>
        <v/>
      </c>
    </row>
    <row r="1153" spans="1:6" x14ac:dyDescent="0.25">
      <c r="A1153" s="6"/>
      <c r="F1153" s="12" t="str">
        <f t="shared" si="17"/>
        <v/>
      </c>
    </row>
    <row r="1154" spans="1:6" x14ac:dyDescent="0.25">
      <c r="A1154" s="6"/>
      <c r="F1154" s="12" t="str">
        <f t="shared" si="17"/>
        <v/>
      </c>
    </row>
    <row r="1155" spans="1:6" x14ac:dyDescent="0.25">
      <c r="A1155" s="6"/>
      <c r="F1155" s="12" t="str">
        <f t="shared" ref="F1155:F1210" si="18">IF((D1155*E1155)=0, "", D1155*E1155)</f>
        <v/>
      </c>
    </row>
    <row r="1156" spans="1:6" x14ac:dyDescent="0.25">
      <c r="A1156" s="6"/>
      <c r="F1156" s="12" t="str">
        <f t="shared" si="18"/>
        <v/>
      </c>
    </row>
    <row r="1157" spans="1:6" x14ac:dyDescent="0.25">
      <c r="A1157" s="6"/>
      <c r="F1157" s="12" t="str">
        <f t="shared" si="18"/>
        <v/>
      </c>
    </row>
    <row r="1158" spans="1:6" x14ac:dyDescent="0.25">
      <c r="A1158" s="6"/>
      <c r="F1158" s="12" t="str">
        <f t="shared" si="18"/>
        <v/>
      </c>
    </row>
    <row r="1159" spans="1:6" x14ac:dyDescent="0.25">
      <c r="A1159" s="6"/>
      <c r="F1159" s="12" t="str">
        <f t="shared" si="18"/>
        <v/>
      </c>
    </row>
    <row r="1160" spans="1:6" x14ac:dyDescent="0.25">
      <c r="A1160" s="6"/>
      <c r="F1160" s="12" t="str">
        <f t="shared" si="18"/>
        <v/>
      </c>
    </row>
    <row r="1161" spans="1:6" x14ac:dyDescent="0.25">
      <c r="A1161" s="6"/>
      <c r="F1161" s="12" t="str">
        <f t="shared" si="18"/>
        <v/>
      </c>
    </row>
    <row r="1162" spans="1:6" x14ac:dyDescent="0.25">
      <c r="A1162" s="6"/>
      <c r="F1162" s="12" t="str">
        <f t="shared" si="18"/>
        <v/>
      </c>
    </row>
    <row r="1163" spans="1:6" x14ac:dyDescent="0.25">
      <c r="A1163" s="6"/>
      <c r="F1163" s="12" t="str">
        <f t="shared" si="18"/>
        <v/>
      </c>
    </row>
    <row r="1164" spans="1:6" x14ac:dyDescent="0.25">
      <c r="A1164" s="6"/>
      <c r="F1164" s="12" t="str">
        <f t="shared" si="18"/>
        <v/>
      </c>
    </row>
    <row r="1165" spans="1:6" x14ac:dyDescent="0.25">
      <c r="A1165" s="6"/>
      <c r="F1165" s="12" t="str">
        <f t="shared" si="18"/>
        <v/>
      </c>
    </row>
    <row r="1166" spans="1:6" x14ac:dyDescent="0.25">
      <c r="A1166" s="6"/>
      <c r="F1166" s="12" t="str">
        <f t="shared" si="18"/>
        <v/>
      </c>
    </row>
    <row r="1167" spans="1:6" x14ac:dyDescent="0.25">
      <c r="A1167" s="6"/>
      <c r="F1167" s="12" t="str">
        <f t="shared" si="18"/>
        <v/>
      </c>
    </row>
    <row r="1168" spans="1:6" x14ac:dyDescent="0.25">
      <c r="A1168" s="6"/>
      <c r="F1168" s="12" t="str">
        <f t="shared" si="18"/>
        <v/>
      </c>
    </row>
    <row r="1169" spans="1:6" x14ac:dyDescent="0.25">
      <c r="A1169" s="6"/>
      <c r="F1169" s="12" t="str">
        <f t="shared" si="18"/>
        <v/>
      </c>
    </row>
    <row r="1170" spans="1:6" x14ac:dyDescent="0.25">
      <c r="A1170" s="6"/>
      <c r="F1170" s="12" t="str">
        <f t="shared" si="18"/>
        <v/>
      </c>
    </row>
    <row r="1171" spans="1:6" x14ac:dyDescent="0.25">
      <c r="A1171" s="6"/>
      <c r="F1171" s="12" t="str">
        <f t="shared" si="18"/>
        <v/>
      </c>
    </row>
    <row r="1172" spans="1:6" x14ac:dyDescent="0.25">
      <c r="A1172" s="6"/>
      <c r="F1172" s="12" t="str">
        <f t="shared" si="18"/>
        <v/>
      </c>
    </row>
    <row r="1173" spans="1:6" x14ac:dyDescent="0.25">
      <c r="A1173" s="6"/>
      <c r="F1173" s="12" t="str">
        <f t="shared" si="18"/>
        <v/>
      </c>
    </row>
    <row r="1174" spans="1:6" x14ac:dyDescent="0.25">
      <c r="A1174" s="6"/>
      <c r="F1174" s="12" t="str">
        <f t="shared" si="18"/>
        <v/>
      </c>
    </row>
    <row r="1175" spans="1:6" x14ac:dyDescent="0.25">
      <c r="A1175" s="6"/>
      <c r="F1175" s="12" t="str">
        <f t="shared" si="18"/>
        <v/>
      </c>
    </row>
    <row r="1176" spans="1:6" x14ac:dyDescent="0.25">
      <c r="A1176" s="6"/>
      <c r="F1176" s="12" t="str">
        <f t="shared" si="18"/>
        <v/>
      </c>
    </row>
    <row r="1177" spans="1:6" x14ac:dyDescent="0.25">
      <c r="A1177" s="6"/>
      <c r="F1177" s="12" t="str">
        <f t="shared" si="18"/>
        <v/>
      </c>
    </row>
    <row r="1178" spans="1:6" x14ac:dyDescent="0.25">
      <c r="A1178" s="6"/>
      <c r="F1178" s="12" t="str">
        <f t="shared" si="18"/>
        <v/>
      </c>
    </row>
    <row r="1179" spans="1:6" x14ac:dyDescent="0.25">
      <c r="A1179" s="6"/>
      <c r="F1179" s="12" t="str">
        <f t="shared" si="18"/>
        <v/>
      </c>
    </row>
    <row r="1180" spans="1:6" x14ac:dyDescent="0.25">
      <c r="A1180" s="6"/>
      <c r="F1180" s="12" t="str">
        <f t="shared" si="18"/>
        <v/>
      </c>
    </row>
    <row r="1181" spans="1:6" x14ac:dyDescent="0.25">
      <c r="A1181" s="6"/>
      <c r="F1181" s="12" t="str">
        <f t="shared" si="18"/>
        <v/>
      </c>
    </row>
    <row r="1182" spans="1:6" x14ac:dyDescent="0.25">
      <c r="A1182" s="6"/>
      <c r="F1182" s="12" t="str">
        <f t="shared" si="18"/>
        <v/>
      </c>
    </row>
    <row r="1183" spans="1:6" x14ac:dyDescent="0.25">
      <c r="A1183" s="6"/>
      <c r="F1183" s="12" t="str">
        <f t="shared" si="18"/>
        <v/>
      </c>
    </row>
    <row r="1184" spans="1:6" x14ac:dyDescent="0.25">
      <c r="A1184" s="6"/>
      <c r="F1184" s="12" t="str">
        <f t="shared" si="18"/>
        <v/>
      </c>
    </row>
    <row r="1185" spans="1:6" x14ac:dyDescent="0.25">
      <c r="A1185" s="6"/>
      <c r="F1185" s="12" t="str">
        <f t="shared" si="18"/>
        <v/>
      </c>
    </row>
    <row r="1186" spans="1:6" x14ac:dyDescent="0.25">
      <c r="A1186" s="6"/>
      <c r="F1186" s="12" t="str">
        <f t="shared" si="18"/>
        <v/>
      </c>
    </row>
    <row r="1187" spans="1:6" x14ac:dyDescent="0.25">
      <c r="A1187" s="6"/>
      <c r="F1187" s="12" t="str">
        <f t="shared" si="18"/>
        <v/>
      </c>
    </row>
    <row r="1188" spans="1:6" x14ac:dyDescent="0.25">
      <c r="A1188" s="6"/>
      <c r="F1188" s="12" t="str">
        <f t="shared" si="18"/>
        <v/>
      </c>
    </row>
    <row r="1189" spans="1:6" x14ac:dyDescent="0.25">
      <c r="A1189" s="6"/>
      <c r="F1189" s="12" t="str">
        <f t="shared" si="18"/>
        <v/>
      </c>
    </row>
    <row r="1190" spans="1:6" x14ac:dyDescent="0.25">
      <c r="A1190" s="6"/>
      <c r="F1190" s="12" t="str">
        <f t="shared" si="18"/>
        <v/>
      </c>
    </row>
    <row r="1191" spans="1:6" x14ac:dyDescent="0.25">
      <c r="A1191" s="6"/>
      <c r="F1191" s="12" t="str">
        <f t="shared" si="18"/>
        <v/>
      </c>
    </row>
    <row r="1192" spans="1:6" x14ac:dyDescent="0.25">
      <c r="A1192" s="6"/>
      <c r="F1192" s="12" t="str">
        <f t="shared" si="18"/>
        <v/>
      </c>
    </row>
    <row r="1193" spans="1:6" x14ac:dyDescent="0.25">
      <c r="A1193" s="6"/>
      <c r="F1193" s="12" t="str">
        <f t="shared" si="18"/>
        <v/>
      </c>
    </row>
    <row r="1194" spans="1:6" x14ac:dyDescent="0.25">
      <c r="A1194" s="6"/>
      <c r="F1194" s="12" t="str">
        <f t="shared" si="18"/>
        <v/>
      </c>
    </row>
    <row r="1195" spans="1:6" x14ac:dyDescent="0.25">
      <c r="A1195" s="6"/>
      <c r="F1195" s="12" t="str">
        <f t="shared" si="18"/>
        <v/>
      </c>
    </row>
    <row r="1196" spans="1:6" x14ac:dyDescent="0.25">
      <c r="A1196" s="6"/>
      <c r="F1196" s="12" t="str">
        <f t="shared" si="18"/>
        <v/>
      </c>
    </row>
    <row r="1197" spans="1:6" x14ac:dyDescent="0.25">
      <c r="A1197" s="6"/>
      <c r="F1197" s="12" t="str">
        <f t="shared" si="18"/>
        <v/>
      </c>
    </row>
    <row r="1198" spans="1:6" x14ac:dyDescent="0.25">
      <c r="A1198" s="6"/>
      <c r="F1198" s="12" t="str">
        <f t="shared" si="18"/>
        <v/>
      </c>
    </row>
    <row r="1199" spans="1:6" x14ac:dyDescent="0.25">
      <c r="A1199" s="6"/>
      <c r="F1199" s="12" t="str">
        <f t="shared" si="18"/>
        <v/>
      </c>
    </row>
    <row r="1200" spans="1:6" x14ac:dyDescent="0.25">
      <c r="A1200" s="6"/>
      <c r="F1200" s="12" t="str">
        <f t="shared" si="18"/>
        <v/>
      </c>
    </row>
    <row r="1201" spans="1:6" x14ac:dyDescent="0.25">
      <c r="A1201" s="6"/>
      <c r="F1201" s="12" t="str">
        <f t="shared" si="18"/>
        <v/>
      </c>
    </row>
    <row r="1202" spans="1:6" x14ac:dyDescent="0.25">
      <c r="A1202" s="6"/>
      <c r="F1202" s="12" t="str">
        <f t="shared" si="18"/>
        <v/>
      </c>
    </row>
    <row r="1203" spans="1:6" x14ac:dyDescent="0.25">
      <c r="A1203" s="6"/>
      <c r="F1203" s="12" t="str">
        <f t="shared" si="18"/>
        <v/>
      </c>
    </row>
    <row r="1204" spans="1:6" x14ac:dyDescent="0.25">
      <c r="A1204" s="6"/>
      <c r="F1204" s="12" t="str">
        <f t="shared" si="18"/>
        <v/>
      </c>
    </row>
    <row r="1205" spans="1:6" x14ac:dyDescent="0.25">
      <c r="A1205" s="6"/>
      <c r="F1205" s="12" t="str">
        <f t="shared" si="18"/>
        <v/>
      </c>
    </row>
    <row r="1206" spans="1:6" x14ac:dyDescent="0.25">
      <c r="A1206" s="6"/>
      <c r="F1206" s="12" t="str">
        <f t="shared" si="18"/>
        <v/>
      </c>
    </row>
    <row r="1207" spans="1:6" x14ac:dyDescent="0.25">
      <c r="A1207" s="6"/>
      <c r="F1207" s="12" t="str">
        <f t="shared" si="18"/>
        <v/>
      </c>
    </row>
    <row r="1208" spans="1:6" x14ac:dyDescent="0.25">
      <c r="A1208" s="6"/>
      <c r="F1208" s="12" t="str">
        <f t="shared" si="18"/>
        <v/>
      </c>
    </row>
    <row r="1209" spans="1:6" x14ac:dyDescent="0.25">
      <c r="A1209" s="6"/>
      <c r="F1209" s="12" t="str">
        <f t="shared" si="18"/>
        <v/>
      </c>
    </row>
    <row r="1210" spans="1:6" x14ac:dyDescent="0.25">
      <c r="A1210" s="6"/>
      <c r="F1210" s="12" t="str">
        <f t="shared" si="18"/>
        <v/>
      </c>
    </row>
    <row r="1211" spans="1:6" x14ac:dyDescent="0.25">
      <c r="A1211" s="6"/>
    </row>
    <row r="1212" spans="1:6" x14ac:dyDescent="0.25">
      <c r="A1212" s="6"/>
    </row>
    <row r="1213" spans="1:6" x14ac:dyDescent="0.25">
      <c r="A1213" s="6"/>
    </row>
    <row r="1214" spans="1:6" x14ac:dyDescent="0.25">
      <c r="A1214" s="6"/>
    </row>
    <row r="1215" spans="1:6" x14ac:dyDescent="0.25">
      <c r="A1215" s="6"/>
    </row>
    <row r="1216" spans="1:6" x14ac:dyDescent="0.25">
      <c r="A1216" s="6"/>
    </row>
    <row r="1217" spans="1:1" x14ac:dyDescent="0.25">
      <c r="A1217" s="6"/>
    </row>
    <row r="1218" spans="1:1" x14ac:dyDescent="0.25">
      <c r="A1218" s="6"/>
    </row>
    <row r="1219" spans="1:1" x14ac:dyDescent="0.25">
      <c r="A1219" s="6"/>
    </row>
    <row r="1220" spans="1:1" x14ac:dyDescent="0.25">
      <c r="A1220" s="6"/>
    </row>
    <row r="1221" spans="1:1" x14ac:dyDescent="0.25">
      <c r="A1221" s="6"/>
    </row>
    <row r="1222" spans="1:1" x14ac:dyDescent="0.25">
      <c r="A1222" s="6"/>
    </row>
    <row r="1223" spans="1:1" x14ac:dyDescent="0.25">
      <c r="A1223" s="6"/>
    </row>
    <row r="1224" spans="1:1" x14ac:dyDescent="0.25">
      <c r="A1224" s="6"/>
    </row>
    <row r="1225" spans="1:1" x14ac:dyDescent="0.25">
      <c r="A1225" s="6"/>
    </row>
    <row r="1226" spans="1:1" x14ac:dyDescent="0.25">
      <c r="A1226" s="6"/>
    </row>
    <row r="1227" spans="1:1" x14ac:dyDescent="0.25">
      <c r="A1227" s="6"/>
    </row>
    <row r="1228" spans="1:1" x14ac:dyDescent="0.25">
      <c r="A1228" s="6"/>
    </row>
    <row r="1229" spans="1:1" x14ac:dyDescent="0.25">
      <c r="A1229" s="6"/>
    </row>
    <row r="1230" spans="1:1" x14ac:dyDescent="0.25">
      <c r="A1230" s="6"/>
    </row>
    <row r="1231" spans="1:1" x14ac:dyDescent="0.25">
      <c r="A1231" s="6"/>
    </row>
    <row r="1232" spans="1:1" x14ac:dyDescent="0.25">
      <c r="A1232" s="6"/>
    </row>
    <row r="1233" spans="1:1" x14ac:dyDescent="0.25">
      <c r="A1233" s="6"/>
    </row>
    <row r="1234" spans="1:1" x14ac:dyDescent="0.25">
      <c r="A1234" s="6"/>
    </row>
    <row r="1235" spans="1:1" x14ac:dyDescent="0.25">
      <c r="A1235" s="6"/>
    </row>
    <row r="1236" spans="1:1" x14ac:dyDescent="0.25">
      <c r="A1236" s="6"/>
    </row>
    <row r="1237" spans="1:1" x14ac:dyDescent="0.25">
      <c r="A1237" s="6"/>
    </row>
    <row r="1238" spans="1:1" x14ac:dyDescent="0.25">
      <c r="A1238" s="6"/>
    </row>
    <row r="1239" spans="1:1" x14ac:dyDescent="0.25">
      <c r="A1239" s="6"/>
    </row>
    <row r="1240" spans="1:1" x14ac:dyDescent="0.25">
      <c r="A1240" s="6"/>
    </row>
    <row r="1241" spans="1:1" x14ac:dyDescent="0.25">
      <c r="A1241" s="6"/>
    </row>
    <row r="1242" spans="1:1" x14ac:dyDescent="0.25">
      <c r="A1242" s="6"/>
    </row>
    <row r="1243" spans="1:1" x14ac:dyDescent="0.25">
      <c r="A1243" s="6"/>
    </row>
    <row r="1244" spans="1:1" x14ac:dyDescent="0.25">
      <c r="A1244" s="6"/>
    </row>
    <row r="1245" spans="1:1" x14ac:dyDescent="0.25">
      <c r="A1245" s="6"/>
    </row>
    <row r="1246" spans="1:1" x14ac:dyDescent="0.25">
      <c r="A1246" s="6"/>
    </row>
    <row r="1247" spans="1:1" x14ac:dyDescent="0.25">
      <c r="A1247" s="6"/>
    </row>
    <row r="1248" spans="1:1" x14ac:dyDescent="0.25">
      <c r="A1248" s="6"/>
    </row>
    <row r="1249" spans="1:1" x14ac:dyDescent="0.25">
      <c r="A1249" s="6"/>
    </row>
    <row r="1250" spans="1:1" x14ac:dyDescent="0.25">
      <c r="A1250" s="6"/>
    </row>
    <row r="1251" spans="1:1" x14ac:dyDescent="0.25">
      <c r="A1251" s="6"/>
    </row>
    <row r="1252" spans="1:1" x14ac:dyDescent="0.25">
      <c r="A1252" s="6"/>
    </row>
    <row r="1253" spans="1:1" x14ac:dyDescent="0.25">
      <c r="A1253" s="6"/>
    </row>
    <row r="1254" spans="1:1" x14ac:dyDescent="0.25">
      <c r="A1254" s="6"/>
    </row>
    <row r="1255" spans="1:1" x14ac:dyDescent="0.25">
      <c r="A1255" s="6"/>
    </row>
    <row r="1256" spans="1:1" x14ac:dyDescent="0.25">
      <c r="A1256" s="6"/>
    </row>
    <row r="1257" spans="1:1" x14ac:dyDescent="0.25">
      <c r="A1257" s="6"/>
    </row>
    <row r="1258" spans="1:1" x14ac:dyDescent="0.25">
      <c r="A1258" s="6"/>
    </row>
    <row r="1259" spans="1:1" x14ac:dyDescent="0.25">
      <c r="A1259" s="6"/>
    </row>
    <row r="1260" spans="1:1" x14ac:dyDescent="0.25">
      <c r="A1260" s="6"/>
    </row>
    <row r="1261" spans="1:1" x14ac:dyDescent="0.25">
      <c r="A1261" s="6"/>
    </row>
    <row r="1262" spans="1:1" x14ac:dyDescent="0.25">
      <c r="A1262" s="6"/>
    </row>
    <row r="1263" spans="1:1" x14ac:dyDescent="0.25">
      <c r="A1263" s="6"/>
    </row>
    <row r="1264" spans="1:1" x14ac:dyDescent="0.25">
      <c r="A1264" s="6"/>
    </row>
    <row r="1265" spans="1:1" x14ac:dyDescent="0.25">
      <c r="A1265" s="6"/>
    </row>
    <row r="1266" spans="1:1" x14ac:dyDescent="0.25">
      <c r="A1266" s="6"/>
    </row>
    <row r="1267" spans="1:1" x14ac:dyDescent="0.25">
      <c r="A1267" s="6"/>
    </row>
    <row r="1268" spans="1:1" x14ac:dyDescent="0.25">
      <c r="A1268" s="6"/>
    </row>
    <row r="1269" spans="1:1" x14ac:dyDescent="0.25">
      <c r="A1269" s="6"/>
    </row>
    <row r="1270" spans="1:1" x14ac:dyDescent="0.25">
      <c r="A1270" s="6"/>
    </row>
    <row r="1271" spans="1:1" x14ac:dyDescent="0.25">
      <c r="A1271" s="6"/>
    </row>
    <row r="1272" spans="1:1" x14ac:dyDescent="0.25">
      <c r="A1272" s="6"/>
    </row>
    <row r="1273" spans="1:1" x14ac:dyDescent="0.25">
      <c r="A1273" s="6"/>
    </row>
    <row r="1274" spans="1:1" x14ac:dyDescent="0.25">
      <c r="A1274" s="6"/>
    </row>
    <row r="1275" spans="1:1" x14ac:dyDescent="0.25">
      <c r="A1275" s="6"/>
    </row>
    <row r="1276" spans="1:1" x14ac:dyDescent="0.25">
      <c r="A1276" s="6"/>
    </row>
    <row r="1277" spans="1:1" x14ac:dyDescent="0.25">
      <c r="A1277" s="6"/>
    </row>
    <row r="1278" spans="1:1" x14ac:dyDescent="0.25">
      <c r="A1278" s="6"/>
    </row>
    <row r="1279" spans="1:1" x14ac:dyDescent="0.25">
      <c r="A1279" s="6"/>
    </row>
    <row r="1280" spans="1:1" x14ac:dyDescent="0.25">
      <c r="A1280" s="6"/>
    </row>
    <row r="1281" spans="1:1" x14ac:dyDescent="0.25">
      <c r="A1281" s="6"/>
    </row>
    <row r="1282" spans="1:1" x14ac:dyDescent="0.25">
      <c r="A1282" s="6"/>
    </row>
    <row r="1283" spans="1:1" x14ac:dyDescent="0.25">
      <c r="A1283" s="6"/>
    </row>
    <row r="1284" spans="1:1" x14ac:dyDescent="0.25">
      <c r="A1284" s="6"/>
    </row>
    <row r="1285" spans="1:1" x14ac:dyDescent="0.25">
      <c r="A1285" s="6"/>
    </row>
    <row r="1286" spans="1:1" x14ac:dyDescent="0.25">
      <c r="A1286" s="6"/>
    </row>
    <row r="1287" spans="1:1" x14ac:dyDescent="0.25">
      <c r="A1287" s="6"/>
    </row>
    <row r="1288" spans="1:1" x14ac:dyDescent="0.25">
      <c r="A1288" s="6"/>
    </row>
    <row r="1289" spans="1:1" x14ac:dyDescent="0.25">
      <c r="A1289" s="6"/>
    </row>
    <row r="1290" spans="1:1" x14ac:dyDescent="0.25">
      <c r="A1290" s="6"/>
    </row>
    <row r="1291" spans="1:1" x14ac:dyDescent="0.25">
      <c r="A1291" s="6"/>
    </row>
    <row r="1292" spans="1:1" x14ac:dyDescent="0.25">
      <c r="A1292" s="6"/>
    </row>
    <row r="1293" spans="1:1" x14ac:dyDescent="0.25">
      <c r="A1293" s="6"/>
    </row>
    <row r="1294" spans="1:1" x14ac:dyDescent="0.25">
      <c r="A1294" s="6"/>
    </row>
    <row r="1295" spans="1:1" x14ac:dyDescent="0.25">
      <c r="A1295" s="6"/>
    </row>
    <row r="1296" spans="1:1" x14ac:dyDescent="0.25">
      <c r="A1296" s="6"/>
    </row>
    <row r="1297" spans="1:5" x14ac:dyDescent="0.25">
      <c r="A1297" s="6"/>
    </row>
    <row r="1298" spans="1:5" x14ac:dyDescent="0.25">
      <c r="A1298" s="6"/>
    </row>
    <row r="1299" spans="1:5" x14ac:dyDescent="0.25">
      <c r="A1299" s="6"/>
    </row>
    <row r="1300" spans="1:5" x14ac:dyDescent="0.25">
      <c r="A1300" s="6"/>
    </row>
    <row r="1301" spans="1:5" x14ac:dyDescent="0.25">
      <c r="A1301" s="6"/>
    </row>
    <row r="1302" spans="1:5" x14ac:dyDescent="0.25">
      <c r="A1302" s="6"/>
    </row>
    <row r="1303" spans="1:5" x14ac:dyDescent="0.25">
      <c r="A1303" s="6"/>
    </row>
    <row r="1304" spans="1:5" x14ac:dyDescent="0.25">
      <c r="A1304" s="7"/>
      <c r="B1304" s="8"/>
      <c r="C1304" s="8"/>
      <c r="D1304" s="8"/>
      <c r="E1304" s="14"/>
    </row>
  </sheetData>
  <dataValidations count="1">
    <dataValidation type="date" operator="greaterThanOrEqual" allowBlank="1" showInputMessage="1" showErrorMessage="1" errorTitle="Date Format" error="Enter Correct Date Format" promptTitle="Date" prompt="Enter Date in DD/MM/YYYY format" sqref="A1:A1048576" xr:uid="{D0E6BC07-0A86-410E-B5F6-622A9E164343}">
      <formula1>AND(ISNUMBER(DATEVALUE(TEXT(A2,"MM/DD/YYYY"))), LEN(TEXT(A2,"MM/DD/YYYY"))=10)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5F7D-74A7-4137-BE3A-D6FC561A7EE3}">
  <dimension ref="A1:F10"/>
  <sheetViews>
    <sheetView zoomScale="193" workbookViewId="0">
      <selection activeCell="C2" sqref="C2"/>
    </sheetView>
  </sheetViews>
  <sheetFormatPr defaultRowHeight="15" x14ac:dyDescent="0.25"/>
  <cols>
    <col min="1" max="2" width="17.5703125" customWidth="1"/>
    <col min="3" max="3" width="13.42578125" customWidth="1"/>
    <col min="4" max="4" width="12.7109375" customWidth="1"/>
    <col min="5" max="5" width="15.5703125" style="12" customWidth="1"/>
    <col min="6" max="6" width="15" style="12" customWidth="1"/>
  </cols>
  <sheetData>
    <row r="1" spans="1:6" s="9" customFormat="1" x14ac:dyDescent="0.25">
      <c r="A1" s="2" t="s">
        <v>1</v>
      </c>
      <c r="B1" s="2" t="s">
        <v>24</v>
      </c>
      <c r="C1" s="2" t="s">
        <v>2</v>
      </c>
      <c r="D1" s="2" t="s">
        <v>16</v>
      </c>
      <c r="E1" s="11" t="s">
        <v>3</v>
      </c>
      <c r="F1" s="11" t="s">
        <v>17</v>
      </c>
    </row>
    <row r="2" spans="1:6" x14ac:dyDescent="0.25">
      <c r="A2" t="str" cm="1">
        <f t="array" ref="A2">IFERROR(INDEX('Stock Entry'!$B:$B, MATCH(0, COUNTIF($A$1:A1, 'Stock Entry'!$B:$B)+IF('Stock Entry'!$B:$B="",1,0), 0)), "")</f>
        <v>NAMANVE</v>
      </c>
      <c r="B2">
        <f>SUMIF('Stock Entry'!B:B, A2, 'Stock Entry'!D:D)</f>
        <v>50</v>
      </c>
      <c r="C2">
        <f>SUMIF('Daily Sales'!C:C, A2, 'Daily Sales'!D:D)</f>
        <v>5</v>
      </c>
      <c r="D2">
        <f>B2 - C2</f>
        <v>45</v>
      </c>
      <c r="E2" s="12">
        <f>VLOOKUP(A2, 'Stock Entry'!B:E, 4, FALSE)</f>
        <v>102000</v>
      </c>
      <c r="F2" s="12">
        <f>D2 * E2</f>
        <v>4590000</v>
      </c>
    </row>
    <row r="3" spans="1:6" x14ac:dyDescent="0.25">
      <c r="A3" t="str" cm="1">
        <f t="array" ref="A3">IFERROR(INDEX('Stock Entry'!$B:$B, MATCH(0, COUNTIF($A$1:A2, 'Stock Entry'!$B:$B)+IF('Stock Entry'!$B:$B="",1,0), 0)), "")</f>
        <v>MUYINDI</v>
      </c>
      <c r="B3">
        <f>SUMIF('Stock Entry'!B:B, A3, 'Stock Entry'!D:D)</f>
        <v>50</v>
      </c>
      <c r="C3">
        <f>SUMIF('Daily Sales'!C:C, A3, 'Daily Sales'!D:D)</f>
        <v>10</v>
      </c>
      <c r="D3">
        <f t="shared" ref="D3:D10" si="0">B3 - C3</f>
        <v>40</v>
      </c>
      <c r="E3" s="12">
        <f>VLOOKUP(A3, 'Stock Entry'!B:E, 4, FALSE)</f>
        <v>112000</v>
      </c>
      <c r="F3" s="12">
        <f t="shared" ref="F3:F10" si="1">D3 * E3</f>
        <v>4480000</v>
      </c>
    </row>
    <row r="4" spans="1:6" x14ac:dyDescent="0.25">
      <c r="A4" t="str" cm="1">
        <f t="array" ref="A4">IFERROR(INDEX('Stock Entry'!$B:$B, MATCH(0, COUNTIF($A$1:A3, 'Stock Entry'!$B:$B)+IF('Stock Entry'!$B:$B="",1,0), 0)), "")</f>
        <v/>
      </c>
      <c r="B4">
        <f>SUMIF('Stock Entry'!B:B, A4, 'Stock Entry'!D:D)</f>
        <v>0</v>
      </c>
      <c r="C4">
        <f>SUMIF('Daily Sales'!C:C, A4, 'Daily Sales'!D:D)</f>
        <v>0</v>
      </c>
      <c r="D4">
        <f t="shared" si="0"/>
        <v>0</v>
      </c>
      <c r="E4" s="12" t="e">
        <f>VLOOKUP(A4, 'Stock Entry'!B:E, 4, FALSE)</f>
        <v>#N/A</v>
      </c>
      <c r="F4" s="12" t="e">
        <f t="shared" si="1"/>
        <v>#N/A</v>
      </c>
    </row>
    <row r="5" spans="1:6" x14ac:dyDescent="0.25">
      <c r="A5" t="str" cm="1">
        <f t="array" ref="A5">IFERROR(INDEX('Stock Entry'!$B:$B, MATCH(0, COUNTIF($A$1:A4, 'Stock Entry'!$B:$B)+IF('Stock Entry'!$B:$B="",1,0), 0)), "")</f>
        <v/>
      </c>
      <c r="B5">
        <f>SUMIF('Stock Entry'!B:B, A5, 'Stock Entry'!D:D)</f>
        <v>0</v>
      </c>
      <c r="C5">
        <f>SUMIF('Daily Sales'!C:C, A5, 'Daily Sales'!D:D)</f>
        <v>0</v>
      </c>
      <c r="D5">
        <f t="shared" si="0"/>
        <v>0</v>
      </c>
      <c r="E5" s="12" t="e">
        <f>VLOOKUP(A5, 'Stock Entry'!B:E, 4, FALSE)</f>
        <v>#N/A</v>
      </c>
      <c r="F5" s="12" t="e">
        <f t="shared" si="1"/>
        <v>#N/A</v>
      </c>
    </row>
    <row r="6" spans="1:6" x14ac:dyDescent="0.25">
      <c r="A6" t="str" cm="1">
        <f t="array" ref="A6">IFERROR(INDEX('Stock Entry'!$B:$B, MATCH(0, COUNTIF($A$1:A5, 'Stock Entry'!$B:$B)+IF('Stock Entry'!$B:$B="",1,0), 0)), "")</f>
        <v/>
      </c>
      <c r="B6">
        <f>SUMIF('Stock Entry'!B:B, A6, 'Stock Entry'!D:D)</f>
        <v>0</v>
      </c>
      <c r="C6">
        <f>SUMIF('Daily Sales'!C:C, A6, 'Daily Sales'!D:D)</f>
        <v>0</v>
      </c>
      <c r="D6">
        <f t="shared" si="0"/>
        <v>0</v>
      </c>
      <c r="E6" s="12" t="e">
        <f>VLOOKUP(A6, 'Stock Entry'!B:E, 4, FALSE)</f>
        <v>#N/A</v>
      </c>
      <c r="F6" s="12" t="e">
        <f t="shared" si="1"/>
        <v>#N/A</v>
      </c>
    </row>
    <row r="7" spans="1:6" x14ac:dyDescent="0.25">
      <c r="A7" t="str" cm="1">
        <f t="array" ref="A7">IFERROR(INDEX('Stock Entry'!$B:$B, MATCH(0, COUNTIF($A$1:A6, 'Stock Entry'!$B:$B)+IF('Stock Entry'!$B:$B="",1,0), 0)), "")</f>
        <v/>
      </c>
      <c r="B7">
        <f>SUMIF('Stock Entry'!B:B, A7, 'Stock Entry'!D:D)</f>
        <v>0</v>
      </c>
      <c r="C7">
        <f>SUMIF('Daily Sales'!C:C, A7, 'Daily Sales'!D:D)</f>
        <v>0</v>
      </c>
      <c r="D7">
        <f t="shared" si="0"/>
        <v>0</v>
      </c>
      <c r="E7" s="12" t="e">
        <f>VLOOKUP(A7, 'Stock Entry'!B:E, 4, FALSE)</f>
        <v>#N/A</v>
      </c>
      <c r="F7" s="12" t="e">
        <f t="shared" si="1"/>
        <v>#N/A</v>
      </c>
    </row>
    <row r="8" spans="1:6" x14ac:dyDescent="0.25">
      <c r="A8" t="str" cm="1">
        <f t="array" ref="A8">IFERROR(INDEX('Stock Entry'!$B:$B, MATCH(0, COUNTIF($A$1:A7, 'Stock Entry'!$B:$B)+IF('Stock Entry'!$B:$B="",1,0), 0)), "")</f>
        <v/>
      </c>
      <c r="B8">
        <f>SUMIF('Stock Entry'!B:B, A8, 'Stock Entry'!D:D)</f>
        <v>0</v>
      </c>
      <c r="C8">
        <f>SUMIF('Daily Sales'!C:C, A8, 'Daily Sales'!D:D)</f>
        <v>0</v>
      </c>
      <c r="D8">
        <f t="shared" si="0"/>
        <v>0</v>
      </c>
      <c r="E8" s="12" t="e">
        <f>VLOOKUP(A8, 'Stock Entry'!B:E, 4, FALSE)</f>
        <v>#N/A</v>
      </c>
      <c r="F8" s="12" t="e">
        <f t="shared" si="1"/>
        <v>#N/A</v>
      </c>
    </row>
    <row r="9" spans="1:6" x14ac:dyDescent="0.25">
      <c r="A9" t="str" cm="1">
        <f t="array" ref="A9">IFERROR(INDEX('Stock Entry'!$B:$B, MATCH(0, COUNTIF($A$1:A8, 'Stock Entry'!$B:$B)+IF('Stock Entry'!$B:$B="",1,0), 0)), "")</f>
        <v/>
      </c>
      <c r="B9">
        <f>SUMIF('Stock Entry'!B:B, A9, 'Stock Entry'!D:D)</f>
        <v>0</v>
      </c>
      <c r="C9">
        <f>SUMIF('Daily Sales'!C:C, A9, 'Daily Sales'!D:D)</f>
        <v>0</v>
      </c>
      <c r="D9">
        <f t="shared" si="0"/>
        <v>0</v>
      </c>
      <c r="E9" s="12" t="e">
        <f>VLOOKUP(A9, 'Stock Entry'!B:E, 4, FALSE)</f>
        <v>#N/A</v>
      </c>
      <c r="F9" s="12" t="e">
        <f t="shared" si="1"/>
        <v>#N/A</v>
      </c>
    </row>
    <row r="10" spans="1:6" x14ac:dyDescent="0.25">
      <c r="A10" t="str" cm="1">
        <f t="array" ref="A10">IFERROR(INDEX('Stock Entry'!$B:$B, MATCH(0, COUNTIF($A$1:A9, 'Stock Entry'!$B:$B)+IF('Stock Entry'!$B:$B="",1,0), 0)), "")</f>
        <v/>
      </c>
      <c r="B10">
        <f>SUMIF('Stock Entry'!B:B, A10, 'Stock Entry'!D:D)</f>
        <v>0</v>
      </c>
      <c r="C10">
        <f>SUMIF('Daily Sales'!C:C, A10, 'Daily Sales'!D:D)</f>
        <v>0</v>
      </c>
      <c r="D10">
        <f t="shared" si="0"/>
        <v>0</v>
      </c>
      <c r="E10" s="12" t="e">
        <f>VLOOKUP(A10, 'Stock Entry'!B:E, 4, FALSE)</f>
        <v>#N/A</v>
      </c>
      <c r="F10" s="12" t="e">
        <f t="shared" si="1"/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03C1-E656-47B9-8FB8-C021FFDDD092}">
  <dimension ref="A1:G2"/>
  <sheetViews>
    <sheetView tabSelected="1" zoomScale="133" workbookViewId="0">
      <selection activeCell="A2" sqref="A2"/>
    </sheetView>
  </sheetViews>
  <sheetFormatPr defaultRowHeight="15" x14ac:dyDescent="0.25"/>
  <cols>
    <col min="1" max="1" width="18.140625" customWidth="1"/>
    <col min="2" max="3" width="21.140625" customWidth="1"/>
    <col min="4" max="4" width="18" customWidth="1"/>
    <col min="5" max="5" width="24.140625" customWidth="1"/>
    <col min="6" max="6" width="20.28515625" customWidth="1"/>
    <col min="7" max="7" width="16.42578125" customWidth="1"/>
  </cols>
  <sheetData>
    <row r="1" spans="1:7" x14ac:dyDescent="0.25">
      <c r="A1" s="2" t="s">
        <v>1</v>
      </c>
      <c r="B1" s="2" t="s">
        <v>18</v>
      </c>
      <c r="C1" s="2" t="s">
        <v>23</v>
      </c>
      <c r="D1" s="2" t="s">
        <v>19</v>
      </c>
      <c r="E1" s="2" t="s">
        <v>22</v>
      </c>
      <c r="F1" s="2" t="s">
        <v>20</v>
      </c>
      <c r="G1" s="2" t="s">
        <v>21</v>
      </c>
    </row>
    <row r="2" spans="1:7" x14ac:dyDescent="0.25">
      <c r="A2" t="s">
        <v>27</v>
      </c>
      <c r="B2">
        <f>IF(A2="", "", SUMIF('Stock Entry'!B:B, A2, 'Stock Entry'!D:D))</f>
        <v>50</v>
      </c>
      <c r="C2" s="12">
        <f>IF(A2="", "", SUMIF('Stock Entry'!B:B, A2, 'Stock Entry'!F:F))</f>
        <v>5600000</v>
      </c>
      <c r="D2">
        <f>IF(A2="", "", VLOOKUP(A2, 'Stock Remaining'!A:D, 3, FALSE))</f>
        <v>10</v>
      </c>
      <c r="E2" s="12">
        <f>IF(A2="", "", VLOOKUP(A2, 'Stock Entry'!B:E, 4, FALSE) * D2)</f>
        <v>1120000</v>
      </c>
      <c r="F2" s="12">
        <f>IF(A2="", "", SUMIF('Daily Sales'!C:C, A2, 'Daily Sales'!J:J))</f>
        <v>1400000</v>
      </c>
      <c r="G2" s="12">
        <f>F2-E2</f>
        <v>280000</v>
      </c>
    </row>
  </sheetData>
  <conditionalFormatting sqref="G1:G1048576">
    <cfRule type="cellIs" dxfId="2" priority="2" operator="lessThan">
      <formula>0</formula>
    </cfRule>
    <cfRule type="colorScale" priority="6">
      <colorScale>
        <cfvo type="num" val="&quot;&lt;0&quot;"/>
        <cfvo type="num" val="&quot;&gt;0&quot;"/>
        <color rgb="FFFF0000"/>
        <color rgb="FF00B050"/>
      </colorScale>
    </cfRule>
  </conditionalFormatting>
  <conditionalFormatting sqref="G2:G11">
    <cfRule type="cellIs" dxfId="1" priority="1" operator="greater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3C3A2E-2093-49F3-B2D4-C7F51311960C}">
          <x14:formula1>
            <xm:f>'Stock Entry'!$B$2:$B$1000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Daily Sales</vt:lpstr>
      <vt:lpstr>Stock Entry</vt:lpstr>
      <vt:lpstr>Stock Remaining</vt:lpstr>
      <vt:lpstr>Cumulative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Agondeze</dc:creator>
  <cp:lastModifiedBy>Samuel Agondeze Kisoke</cp:lastModifiedBy>
  <dcterms:created xsi:type="dcterms:W3CDTF">2024-10-22T21:06:28Z</dcterms:created>
  <dcterms:modified xsi:type="dcterms:W3CDTF">2026-02-17T03:52:07Z</dcterms:modified>
</cp:coreProperties>
</file>